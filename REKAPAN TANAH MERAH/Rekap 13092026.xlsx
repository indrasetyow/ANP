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7\Documents\PT ANP\REKAPAN TANAH MERAH\"/>
    </mc:Choice>
  </mc:AlternateContent>
  <xr:revisionPtr revIDLastSave="0" documentId="13_ncr:1_{5173AABF-FCC0-4F04-B160-B565E3E6FEAA}" xr6:coauthVersionLast="47" xr6:coauthVersionMax="47" xr10:uidLastSave="{00000000-0000-0000-0000-000000000000}"/>
  <bookViews>
    <workbookView xWindow="14295" yWindow="0" windowWidth="14610" windowHeight="15585" firstSheet="1" activeTab="3" xr2:uid="{1A1D2953-5042-4C85-9675-41FC840E0F94}"/>
  </bookViews>
  <sheets>
    <sheet name="DT KECIL 24+350" sheetId="1" r:id="rId1"/>
    <sheet name="DT KECIL STA 22" sheetId="2" r:id="rId2"/>
    <sheet name="DT BESAR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D7" i="4" s="1"/>
  <c r="D3" i="4"/>
  <c r="G5" i="2"/>
  <c r="G6" i="3"/>
  <c r="G10" i="1"/>
  <c r="D2" i="4" s="1"/>
  <c r="D6" i="4" s="1"/>
  <c r="D8" i="4" l="1"/>
</calcChain>
</file>

<file path=xl/sharedStrings.xml><?xml version="1.0" encoding="utf-8"?>
<sst xmlns="http://schemas.openxmlformats.org/spreadsheetml/2006/main" count="71" uniqueCount="32">
  <si>
    <t>No.</t>
  </si>
  <si>
    <t>PLAT</t>
  </si>
  <si>
    <t>PANJANG</t>
  </si>
  <si>
    <t>LEBAR</t>
  </si>
  <si>
    <t>TINGGI</t>
  </si>
  <si>
    <t>PALASI</t>
  </si>
  <si>
    <t>AA 8823 YF</t>
  </si>
  <si>
    <t>AA 8528 WC</t>
  </si>
  <si>
    <t>H 8756 QA</t>
  </si>
  <si>
    <t>Z 9693 TC</t>
  </si>
  <si>
    <t>130+20</t>
  </si>
  <si>
    <t>115+20</t>
  </si>
  <si>
    <t>VOLUME</t>
  </si>
  <si>
    <t>JAM MASUK</t>
  </si>
  <si>
    <t>60/24</t>
  </si>
  <si>
    <t>55/22</t>
  </si>
  <si>
    <t>50/20</t>
  </si>
  <si>
    <t>50.20</t>
  </si>
  <si>
    <t>11.67</t>
  </si>
  <si>
    <t>11.41</t>
  </si>
  <si>
    <t>10.20</t>
  </si>
  <si>
    <t>11.27</t>
  </si>
  <si>
    <t>11.53</t>
  </si>
  <si>
    <t>JUMLAH</t>
  </si>
  <si>
    <t>B 9686 TYZ</t>
  </si>
  <si>
    <t>B 9235 TIS</t>
  </si>
  <si>
    <t>B 9690 TYZ</t>
  </si>
  <si>
    <t>JENIS 
KENDARAAN</t>
  </si>
  <si>
    <t>DT KECIL</t>
  </si>
  <si>
    <t>STA</t>
  </si>
  <si>
    <t>DT BESAR</t>
  </si>
  <si>
    <t>24+350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</si>
</sst>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53805-AB54-4872-8E45-2C1D433D76AB}" name="Table4" displayName="Table4" ref="A1:H10" totalsRowShown="0" headerRowDxfId="0" dataDxfId="1">
  <autoFilter ref="A1:H10" xr:uid="{80F53805-AB54-4872-8E45-2C1D433D76AB}"/>
  <tableColumns count="8">
    <tableColumn id="1" xr3:uid="{4AC0019D-0E09-40CC-8539-9B13D9E7FE14}" name="No." dataDxfId="9"/>
    <tableColumn id="2" xr3:uid="{7CF12DD8-114D-437E-84AC-27212E81B872}" name="PLAT" dataDxfId="8"/>
    <tableColumn id="3" xr3:uid="{67ACE094-0819-4F81-8BC5-B3F8B210B873}" name="PANJANG" dataDxfId="7"/>
    <tableColumn id="4" xr3:uid="{39AEE806-274A-4D9A-B831-A988427F6F6D}" name="LEBAR" dataDxfId="6"/>
    <tableColumn id="5" xr3:uid="{3BA264F9-A978-401A-BA75-FD20FCFD51A4}" name="TINGGI" dataDxfId="5"/>
    <tableColumn id="6" xr3:uid="{459139C4-AE51-4D86-AA72-0C1625C45646}" name="PALASI" dataDxfId="4"/>
    <tableColumn id="7" xr3:uid="{E38F1BBF-7450-4261-A7CA-61D876B73599}" name="VOLUME" dataDxfId="3"/>
    <tableColumn id="8" xr3:uid="{346CF578-9D71-41E3-8E88-538C5B4059AF}" name="JAM MASUK" dataDxfId="2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E3CC3-662F-4C73-A2A1-EAE835F1945F}" name="Table3" displayName="Table3" ref="A1:H5" totalsRowShown="0" headerRowDxfId="10">
  <autoFilter ref="A1:H5" xr:uid="{967E3CC3-662F-4C73-A2A1-EAE835F1945F}"/>
  <tableColumns count="8">
    <tableColumn id="1" xr3:uid="{DBF8F1B6-69C2-4484-B563-970F22C856FB}" name="No."/>
    <tableColumn id="2" xr3:uid="{8DA9FB1E-426C-4534-A01B-8F9BA8251D57}" name="PLAT"/>
    <tableColumn id="3" xr3:uid="{A9F9A037-D1A3-4431-A09E-C2BD713B3DAB}" name="PANJANG"/>
    <tableColumn id="4" xr3:uid="{858B30E1-FF02-44E4-93B4-5A928423A03E}" name="LEBAR"/>
    <tableColumn id="5" xr3:uid="{6FD6722D-618E-4DF8-8CE5-26F5515ACAF3}" name="TINGGI"/>
    <tableColumn id="6" xr3:uid="{4E873A58-CA20-436B-95D7-67AB6369BA53}" name="PALASI"/>
    <tableColumn id="7" xr3:uid="{016F3259-88BE-4F2B-919B-394145B294EA}" name="VOLUME"/>
    <tableColumn id="8" xr3:uid="{8AAC098B-24C8-4199-9749-2E7CA300897C}" name="JAM MASUK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421998-6882-4D16-933E-0B2A1EB735FD}" name="Table2" displayName="Table2" ref="A1:H6" totalsRowShown="0" headerRowDxfId="11" dataDxfId="12">
  <autoFilter ref="A1:H6" xr:uid="{58421998-6882-4D16-933E-0B2A1EB735FD}"/>
  <tableColumns count="8">
    <tableColumn id="1" xr3:uid="{BC732B2A-A915-46A3-9286-E12B3D1E0AC0}" name="No." dataDxfId="20"/>
    <tableColumn id="2" xr3:uid="{019D7B65-D723-403D-BDE9-7A076C55D290}" name="PLAT" dataDxfId="19"/>
    <tableColumn id="3" xr3:uid="{A7942A15-C1CB-43A2-B023-EFF7462EB37A}" name="PANJANG" dataDxfId="18"/>
    <tableColumn id="4" xr3:uid="{2EAC820D-00BE-49EC-AD42-F40C27EAE8EF}" name="LEBAR" dataDxfId="17"/>
    <tableColumn id="5" xr3:uid="{83187C49-82C7-477F-98D6-1187B754C142}" name="TINGGI" dataDxfId="16"/>
    <tableColumn id="6" xr3:uid="{24FB4748-8DD1-4AD7-AAB7-DBE64C3DD286}" name="PALASI" dataDxfId="15"/>
    <tableColumn id="7" xr3:uid="{EC53E40B-60C8-4E67-A348-4380749BDEEA}" name="VOLUME" dataDxfId="14"/>
    <tableColumn id="8" xr3:uid="{3499A6FD-72F5-48AD-A69A-A47150A5F66E}" name="JAM MASUK" dataDxfId="13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46718-5207-4241-9472-21C2A0F3BD02}" name="Table1" displayName="Table1" ref="A1:D8" totalsRowShown="0">
  <autoFilter ref="A1:D8" xr:uid="{9AE46718-5207-4241-9472-21C2A0F3BD02}"/>
  <tableColumns count="4">
    <tableColumn id="1" xr3:uid="{35E429FD-8D4F-482E-A2EB-84CEC85600A3}" name="No."/>
    <tableColumn id="2" xr3:uid="{CFA6110E-A370-44FE-A972-25FD1400D85A}" name="JENIS _x000a_KENDARAAN"/>
    <tableColumn id="3" xr3:uid="{365E3572-58AA-40D7-9C4C-07E7A51908DE}" name="STA"/>
    <tableColumn id="4" xr3:uid="{32DB0B55-8C83-4629-8D63-D0619C1EA8E4}" name="VOLUME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2E63-5183-42FA-9D8E-AEBD9530E00A}">
  <dimension ref="A1:H10"/>
  <sheetViews>
    <sheetView workbookViewId="0">
      <selection activeCell="J13" sqref="J13"/>
    </sheetView>
  </sheetViews>
  <sheetFormatPr defaultRowHeight="15" x14ac:dyDescent="0.25"/>
  <cols>
    <col min="1" max="1" width="6.28515625" customWidth="1"/>
    <col min="2" max="2" width="11" bestFit="1" customWidth="1"/>
    <col min="3" max="3" width="11.570312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6</v>
      </c>
      <c r="C2" s="1">
        <v>370</v>
      </c>
      <c r="D2" s="1">
        <v>190</v>
      </c>
      <c r="E2" s="1">
        <v>145</v>
      </c>
      <c r="F2" s="1" t="s">
        <v>14</v>
      </c>
      <c r="G2" s="1">
        <v>11.88</v>
      </c>
      <c r="H2" s="2">
        <v>0.38680555555555557</v>
      </c>
    </row>
    <row r="3" spans="1:8" x14ac:dyDescent="0.25">
      <c r="A3" s="1">
        <v>2</v>
      </c>
      <c r="B3" s="1" t="s">
        <v>7</v>
      </c>
      <c r="C3" s="1">
        <v>365</v>
      </c>
      <c r="D3" s="1">
        <v>190</v>
      </c>
      <c r="E3" s="1" t="s">
        <v>10</v>
      </c>
      <c r="F3" s="1" t="s">
        <v>15</v>
      </c>
      <c r="G3" s="1" t="s">
        <v>18</v>
      </c>
      <c r="H3" s="2">
        <v>0.38750000000000001</v>
      </c>
    </row>
    <row r="4" spans="1:8" x14ac:dyDescent="0.25">
      <c r="A4" s="1">
        <v>3</v>
      </c>
      <c r="B4" s="1" t="s">
        <v>8</v>
      </c>
      <c r="C4" s="1">
        <v>365</v>
      </c>
      <c r="D4" s="1">
        <v>185</v>
      </c>
      <c r="E4" s="1">
        <v>145</v>
      </c>
      <c r="F4" s="1" t="s">
        <v>14</v>
      </c>
      <c r="G4" s="1" t="s">
        <v>19</v>
      </c>
      <c r="H4" s="2">
        <v>0.38958333333333334</v>
      </c>
    </row>
    <row r="5" spans="1:8" x14ac:dyDescent="0.25">
      <c r="A5" s="1">
        <v>4</v>
      </c>
      <c r="B5" s="1" t="s">
        <v>9</v>
      </c>
      <c r="C5" s="1">
        <v>360</v>
      </c>
      <c r="D5" s="1">
        <v>185</v>
      </c>
      <c r="E5" s="1" t="s">
        <v>11</v>
      </c>
      <c r="F5" s="1" t="s">
        <v>15</v>
      </c>
      <c r="G5" s="1" t="s">
        <v>20</v>
      </c>
      <c r="H5" s="2">
        <v>0.42152777777777778</v>
      </c>
    </row>
    <row r="6" spans="1:8" x14ac:dyDescent="0.25">
      <c r="A6" s="1">
        <v>5</v>
      </c>
      <c r="B6" s="1" t="s">
        <v>8</v>
      </c>
      <c r="C6" s="1">
        <v>365</v>
      </c>
      <c r="D6" s="1">
        <v>185</v>
      </c>
      <c r="E6" s="1">
        <v>145</v>
      </c>
      <c r="F6" s="1" t="s">
        <v>15</v>
      </c>
      <c r="G6" s="1" t="s">
        <v>21</v>
      </c>
      <c r="H6" s="2">
        <v>0.54722222222222217</v>
      </c>
    </row>
    <row r="7" spans="1:8" x14ac:dyDescent="0.25">
      <c r="A7" s="1">
        <v>6</v>
      </c>
      <c r="B7" s="1" t="s">
        <v>7</v>
      </c>
      <c r="C7" s="1">
        <v>365</v>
      </c>
      <c r="D7" s="1">
        <v>190</v>
      </c>
      <c r="E7" s="1" t="s">
        <v>10</v>
      </c>
      <c r="F7" s="1" t="s">
        <v>17</v>
      </c>
      <c r="G7" s="1" t="s">
        <v>22</v>
      </c>
      <c r="H7" s="2">
        <v>0.56666666666666665</v>
      </c>
    </row>
    <row r="8" spans="1:8" x14ac:dyDescent="0.25">
      <c r="A8" s="1">
        <v>7</v>
      </c>
      <c r="B8" s="1" t="s">
        <v>9</v>
      </c>
      <c r="C8" s="1">
        <v>360</v>
      </c>
      <c r="D8" s="1">
        <v>185</v>
      </c>
      <c r="E8" s="1" t="s">
        <v>11</v>
      </c>
      <c r="F8" s="1" t="s">
        <v>15</v>
      </c>
      <c r="G8" s="1" t="s">
        <v>20</v>
      </c>
      <c r="H8" s="2">
        <v>0.6069444444444444</v>
      </c>
    </row>
    <row r="9" spans="1:8" x14ac:dyDescent="0.25">
      <c r="G9" s="3" t="s">
        <v>23</v>
      </c>
    </row>
    <row r="10" spans="1:8" x14ac:dyDescent="0.25">
      <c r="G10" s="1">
        <f>SUM(G2:G8)</f>
        <v>11.88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1611-3138-4DB8-A5FA-C0C102A7690C}">
  <dimension ref="A1:H5"/>
  <sheetViews>
    <sheetView workbookViewId="0">
      <selection activeCell="H12" sqref="H12"/>
    </sheetView>
  </sheetViews>
  <sheetFormatPr defaultRowHeight="15" x14ac:dyDescent="0.25"/>
  <cols>
    <col min="1" max="1" width="6.28515625" customWidth="1"/>
    <col min="2" max="2" width="11" bestFit="1" customWidth="1"/>
    <col min="3" max="3" width="11.5703125" customWidth="1"/>
    <col min="4" max="4" width="8.8554687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8</v>
      </c>
      <c r="C2" s="1">
        <v>365</v>
      </c>
      <c r="D2" s="1">
        <v>185</v>
      </c>
      <c r="E2" s="1">
        <v>145</v>
      </c>
      <c r="F2" s="1" t="s">
        <v>16</v>
      </c>
      <c r="G2" s="1">
        <v>11.14</v>
      </c>
      <c r="H2" s="2">
        <v>0.68888888888888899</v>
      </c>
    </row>
    <row r="3" spans="1:8" x14ac:dyDescent="0.25">
      <c r="A3" s="1">
        <v>2</v>
      </c>
      <c r="B3" s="1" t="s">
        <v>7</v>
      </c>
      <c r="C3" s="1">
        <v>365</v>
      </c>
      <c r="D3" s="1">
        <v>190</v>
      </c>
      <c r="E3" s="1" t="s">
        <v>10</v>
      </c>
      <c r="F3" s="1" t="s">
        <v>14</v>
      </c>
      <c r="G3" s="1">
        <v>11.81</v>
      </c>
      <c r="H3" s="2">
        <v>0.72083333333333333</v>
      </c>
    </row>
    <row r="4" spans="1:8" x14ac:dyDescent="0.25">
      <c r="G4" s="3" t="s">
        <v>23</v>
      </c>
    </row>
    <row r="5" spans="1:8" x14ac:dyDescent="0.25">
      <c r="G5">
        <f>SUM(G2:G3)</f>
        <v>22.950000000000003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E5C7-CC1E-4AFF-85E0-1408A50C32A8}">
  <dimension ref="A1:H6"/>
  <sheetViews>
    <sheetView workbookViewId="0">
      <selection activeCell="F12" sqref="F12"/>
    </sheetView>
  </sheetViews>
  <sheetFormatPr defaultRowHeight="15" x14ac:dyDescent="0.25"/>
  <cols>
    <col min="1" max="1" width="6.28515625" customWidth="1"/>
    <col min="2" max="2" width="10" bestFit="1" customWidth="1"/>
    <col min="3" max="3" width="11.5703125" customWidth="1"/>
    <col min="4" max="4" width="8.8554687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</row>
    <row r="2" spans="1:8" x14ac:dyDescent="0.25">
      <c r="A2" s="4">
        <v>1</v>
      </c>
      <c r="B2" s="4" t="s">
        <v>24</v>
      </c>
      <c r="C2" s="4">
        <v>600</v>
      </c>
      <c r="D2" s="4">
        <v>235</v>
      </c>
      <c r="E2" s="4">
        <v>170</v>
      </c>
      <c r="F2" s="4">
        <v>13</v>
      </c>
      <c r="G2" s="4">
        <v>25.8</v>
      </c>
      <c r="H2" s="5">
        <v>0.95972222222222225</v>
      </c>
    </row>
    <row r="3" spans="1:8" x14ac:dyDescent="0.25">
      <c r="A3" s="4">
        <v>2</v>
      </c>
      <c r="B3" s="4" t="s">
        <v>25</v>
      </c>
      <c r="C3" s="4">
        <v>600</v>
      </c>
      <c r="D3" s="4">
        <v>235</v>
      </c>
      <c r="E3" s="4">
        <v>170</v>
      </c>
      <c r="F3" s="4">
        <v>18</v>
      </c>
      <c r="G3" s="4">
        <v>26.8</v>
      </c>
      <c r="H3" s="5">
        <v>0.96111111111111114</v>
      </c>
    </row>
    <row r="4" spans="1:8" x14ac:dyDescent="0.25">
      <c r="A4" s="4">
        <v>3</v>
      </c>
      <c r="B4" s="4" t="s">
        <v>26</v>
      </c>
      <c r="C4" s="4">
        <v>600</v>
      </c>
      <c r="D4" s="4">
        <v>235</v>
      </c>
      <c r="E4" s="4">
        <v>170</v>
      </c>
      <c r="F4" s="4">
        <v>15</v>
      </c>
      <c r="G4" s="4">
        <v>26.08</v>
      </c>
      <c r="H4" s="5">
        <v>0.98263888888888884</v>
      </c>
    </row>
    <row r="5" spans="1:8" x14ac:dyDescent="0.25">
      <c r="E5" s="4"/>
      <c r="F5" s="4"/>
      <c r="G5" s="7" t="s">
        <v>23</v>
      </c>
    </row>
    <row r="6" spans="1:8" x14ac:dyDescent="0.25">
      <c r="G6">
        <f>SUM(G2:G4)</f>
        <v>78.680000000000007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3ADE-29F4-495F-9663-0FD8E7F14254}">
  <dimension ref="A1:D8"/>
  <sheetViews>
    <sheetView tabSelected="1" workbookViewId="0">
      <selection activeCell="E22" activeCellId="1" sqref="A1 E22"/>
    </sheetView>
  </sheetViews>
  <sheetFormatPr defaultColWidth="10.85546875" defaultRowHeight="15" x14ac:dyDescent="0.25"/>
  <cols>
    <col min="1" max="1" width="6.28515625" customWidth="1"/>
    <col min="2" max="2" width="13.42578125" customWidth="1"/>
  </cols>
  <sheetData>
    <row r="1" spans="1:4" ht="30" x14ac:dyDescent="0.25">
      <c r="A1" s="1" t="s">
        <v>0</v>
      </c>
      <c r="B1" s="6" t="s">
        <v>27</v>
      </c>
      <c r="C1" s="6" t="s">
        <v>29</v>
      </c>
      <c r="D1" s="1" t="s">
        <v>12</v>
      </c>
    </row>
    <row r="2" spans="1:4" x14ac:dyDescent="0.25">
      <c r="A2" s="4">
        <v>1</v>
      </c>
      <c r="B2" s="4" t="s">
        <v>28</v>
      </c>
      <c r="C2" s="4" t="s">
        <v>31</v>
      </c>
      <c r="D2" s="4">
        <f>'DT KECIL 24+350'!G10</f>
        <v>11.88</v>
      </c>
    </row>
    <row r="3" spans="1:4" x14ac:dyDescent="0.25">
      <c r="A3" s="4">
        <v>2</v>
      </c>
      <c r="B3" s="4" t="s">
        <v>28</v>
      </c>
      <c r="C3" s="4">
        <v>22</v>
      </c>
      <c r="D3" s="4">
        <f>'DT KECIL STA 22'!G5</f>
        <v>22.950000000000003</v>
      </c>
    </row>
    <row r="4" spans="1:4" x14ac:dyDescent="0.25">
      <c r="A4" s="4">
        <v>3</v>
      </c>
      <c r="B4" s="4" t="s">
        <v>30</v>
      </c>
      <c r="C4" s="4">
        <v>24</v>
      </c>
      <c r="D4" s="4">
        <f>'DT BESAR'!G6</f>
        <v>78.680000000000007</v>
      </c>
    </row>
    <row r="5" spans="1:4" x14ac:dyDescent="0.25">
      <c r="B5" s="7" t="s">
        <v>23</v>
      </c>
      <c r="C5" s="4"/>
      <c r="D5" s="4"/>
    </row>
    <row r="6" spans="1:4" x14ac:dyDescent="0.25">
      <c r="C6" t="s">
        <v>28</v>
      </c>
      <c r="D6">
        <f>SUM(D2:D3)</f>
        <v>34.830000000000005</v>
      </c>
    </row>
    <row r="7" spans="1:4" x14ac:dyDescent="0.25">
      <c r="C7" t="s">
        <v>30</v>
      </c>
      <c r="D7">
        <f>SUM(D4)</f>
        <v>78.680000000000007</v>
      </c>
    </row>
    <row r="8" spans="1:4" x14ac:dyDescent="0.25">
      <c r="C8" t="s">
        <v>23</v>
      </c>
      <c r="D8">
        <f>SUM(D6:D7)</f>
        <v>113.51000000000002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DT KECIL 24+350</vt:lpstr>
      <vt:lpstr>DT KECIL STA 22</vt:lpstr>
      <vt:lpstr>DT BESAR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6287738128331</dc:creator>
  <cp:lastModifiedBy>6287738128331</cp:lastModifiedBy>
  <dcterms:created xsi:type="dcterms:W3CDTF">2026-09-14T08:39:36Z</dcterms:created>
  <dcterms:modified xsi:type="dcterms:W3CDTF">2026-09-14T09:07:02Z</dcterms:modified>
</cp:coreProperties>
</file>