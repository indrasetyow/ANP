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2877\Documents\PT ANP\REKAPAN TANAH MERAH\"/>
    </mc:Choice>
  </mc:AlternateContent>
  <xr:revisionPtr revIDLastSave="0" documentId="13_ncr:1_{E6503CD4-6BA1-4381-9DDA-42B847A65ADF}" xr6:coauthVersionLast="47" xr6:coauthVersionMax="47" xr10:uidLastSave="{00000000-0000-0000-0000-000000000000}"/>
  <bookViews>
    <workbookView xWindow="-120" yWindow="-120" windowWidth="29040" windowHeight="15720" xr2:uid="{1A1D2953-5042-4C85-9675-41FC840E0F94}"/>
  </bookViews>
  <sheets>
    <sheet name="DT KECIL 24+350" sheetId="1" r:id="rId1"/>
    <sheet name="DT KECIL PSL" sheetId="2" r:id="rId2"/>
    <sheet name="SUMMAR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4" l="1"/>
  <c r="G36" i="2"/>
  <c r="G43" i="1"/>
  <c r="D2" i="4" s="1"/>
  <c r="D5" i="4" l="1"/>
</calcChain>
</file>

<file path=xl/sharedStrings.xml><?xml version="1.0" encoding="utf-8"?>
<sst xmlns="http://schemas.openxmlformats.org/spreadsheetml/2006/main" count="200" uniqueCount="74">
  <si>
    <t>No.</t>
  </si>
  <si>
    <t>PLAT</t>
  </si>
  <si>
    <t>PANJANG</t>
  </si>
  <si>
    <t>LEBAR</t>
  </si>
  <si>
    <t>TINGGI</t>
  </si>
  <si>
    <t>PALASI</t>
  </si>
  <si>
    <t>AA 8528 WC</t>
  </si>
  <si>
    <t>H 8756 QA</t>
  </si>
  <si>
    <t>Z 9693 TC</t>
  </si>
  <si>
    <t>130+20</t>
  </si>
  <si>
    <t>115+20</t>
  </si>
  <si>
    <t>VOLUME</t>
  </si>
  <si>
    <t>JAM MASUK</t>
  </si>
  <si>
    <t>60/24</t>
  </si>
  <si>
    <t>55/22</t>
  </si>
  <si>
    <t>50/20</t>
  </si>
  <si>
    <t>JUMLAH</t>
  </si>
  <si>
    <t>JENIS 
KENDARAAN</t>
  </si>
  <si>
    <t>DT KECIL</t>
  </si>
  <si>
    <t>STA</t>
  </si>
  <si>
    <t>24+350</t>
  </si>
  <si>
    <t>155</t>
  </si>
  <si>
    <t>65/26</t>
  </si>
  <si>
    <t>100+20</t>
  </si>
  <si>
    <t>70/28</t>
  </si>
  <si>
    <t>57/22</t>
  </si>
  <si>
    <t>140</t>
  </si>
  <si>
    <t>45/18</t>
  </si>
  <si>
    <t>59/20</t>
  </si>
  <si>
    <t>59/22</t>
  </si>
  <si>
    <t>K 8592 JS</t>
  </si>
  <si>
    <t>H 8172 FG</t>
  </si>
  <si>
    <t>K 8636 TD</t>
  </si>
  <si>
    <t>E 9336 AC</t>
  </si>
  <si>
    <t>K 8699 DS</t>
  </si>
  <si>
    <t>L 9369 UX</t>
  </si>
  <si>
    <t>L 8141 LS</t>
  </si>
  <si>
    <t>K 8231 KS</t>
  </si>
  <si>
    <t>G 8791 OE</t>
  </si>
  <si>
    <t>AA 9940 YF</t>
  </si>
  <si>
    <t>K 1485 LK</t>
  </si>
  <si>
    <t>AG 9138 V</t>
  </si>
  <si>
    <t>H 1856 CZ</t>
  </si>
  <si>
    <t>AA 9269 YF</t>
  </si>
  <si>
    <t>Ag 9128 U</t>
  </si>
  <si>
    <t>Aa 9940 YF</t>
  </si>
  <si>
    <t>K 1402 SH</t>
  </si>
  <si>
    <t>D 8202 YD</t>
  </si>
  <si>
    <t>Ad 1615 MP</t>
  </si>
  <si>
    <t>G 8791 OC</t>
  </si>
  <si>
    <t>E 9336 AE</t>
  </si>
  <si>
    <t>150</t>
  </si>
  <si>
    <t>125+20</t>
  </si>
  <si>
    <t>49/20</t>
  </si>
  <si>
    <t>60/26</t>
  </si>
  <si>
    <t>61/26</t>
  </si>
  <si>
    <t>AB 8106 JC</t>
  </si>
  <si>
    <t>K 9843 LP</t>
  </si>
  <si>
    <t>D 9033 AD</t>
  </si>
  <si>
    <t>E 9319 HD</t>
  </si>
  <si>
    <t>Z 9315 NB</t>
  </si>
  <si>
    <t>Z 9318 NB</t>
  </si>
  <si>
    <t>120+20</t>
  </si>
  <si>
    <t>D 9105 UB</t>
  </si>
  <si>
    <t>E 8177 QB</t>
  </si>
  <si>
    <t>Z 9137 VC</t>
  </si>
  <si>
    <t>Z 9306 NB</t>
  </si>
  <si>
    <t>Z 9136 VC</t>
  </si>
  <si>
    <t>110+20</t>
  </si>
  <si>
    <t>AB 8262 PD</t>
  </si>
  <si>
    <t>Z 9757 AA</t>
  </si>
  <si>
    <t>E 9336 UB</t>
  </si>
  <si>
    <t>PSL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</si>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</sst>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5" formatCode="h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F53805-AB54-4872-8E45-2C1D433D76AB}" name="Table4" displayName="Table4" ref="A1:H43" totalsRowShown="0" headerRowDxfId="25" dataDxfId="16">
  <autoFilter ref="A1:H43" xr:uid="{80F53805-AB54-4872-8E45-2C1D433D76AB}"/>
  <tableColumns count="8">
    <tableColumn id="1" xr3:uid="{4AC0019D-0E09-40CC-8539-9B13D9E7FE14}" name="No." dataDxfId="24"/>
    <tableColumn id="2" xr3:uid="{7CF12DD8-114D-437E-84AC-27212E81B872}" name="PLAT" dataDxfId="23"/>
    <tableColumn id="3" xr3:uid="{67ACE094-0819-4F81-8BC5-B3F8B210B873}" name="PANJANG" dataDxfId="22"/>
    <tableColumn id="4" xr3:uid="{39AEE806-274A-4D9A-B831-A988427F6F6D}" name="LEBAR" dataDxfId="21"/>
    <tableColumn id="5" xr3:uid="{3BA264F9-A978-401A-BA75-FD20FCFD51A4}" name="TINGGI" dataDxfId="20"/>
    <tableColumn id="6" xr3:uid="{459139C4-AE51-4D86-AA72-0C1625C45646}" name="PALASI" dataDxfId="19"/>
    <tableColumn id="7" xr3:uid="{E38F1BBF-7450-4261-A7CA-61D876B73599}" name="VOLUME" dataDxfId="18"/>
    <tableColumn id="8" xr3:uid="{346CF578-9D71-41E3-8E88-538C5B4059AF}" name="JAM MASUK" dataDxfId="17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7E3CC3-662F-4C73-A2A1-EAE835F1945F}" name="Table3" displayName="Table3" ref="A1:H36" totalsRowCount="1" headerRowDxfId="26" dataDxfId="8">
  <autoFilter ref="A1:H35" xr:uid="{967E3CC3-662F-4C73-A2A1-EAE835F1945F}"/>
  <tableColumns count="8">
    <tableColumn id="1" xr3:uid="{DBF8F1B6-69C2-4484-B563-970F22C856FB}" name="No." totalsRowLabel="Total" dataDxfId="15" totalsRowDxfId="6"/>
    <tableColumn id="2" xr3:uid="{8DA9FB1E-426C-4534-A01B-8F9BA8251D57}" name="PLAT" dataDxfId="14" totalsRowDxfId="5"/>
    <tableColumn id="3" xr3:uid="{A9F9A037-D1A3-4431-A09E-C2BD713B3DAB}" name="PANJANG" dataDxfId="13" totalsRowDxfId="4"/>
    <tableColumn id="4" xr3:uid="{858B30E1-FF02-44E4-93B4-5A928423A03E}" name="LEBAR" dataDxfId="12" totalsRowDxfId="3"/>
    <tableColumn id="5" xr3:uid="{6FD6722D-618E-4DF8-8CE5-26F5515ACAF3}" name="TINGGI" dataDxfId="11" totalsRowDxfId="2"/>
    <tableColumn id="6" xr3:uid="{4E873A58-CA20-436B-95D7-67AB6369BA53}" name="PALASI" dataDxfId="10" totalsRowDxfId="1"/>
    <tableColumn id="7" xr3:uid="{016F3259-88BE-4F2B-919B-394145B294EA}" name="VOLUME" totalsRowFunction="custom" dataDxfId="7">
      <totalsRowFormula>SUM(G2:G33)</totalsRowFormula>
    </tableColumn>
    <tableColumn id="8" xr3:uid="{8AAC098B-24C8-4199-9749-2E7CA300897C}" name="JAM MASUK" dataDxfId="9" totalsRowDxfId="0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E46718-5207-4241-9472-21C2A0F3BD02}" name="Table1" displayName="Table1" ref="A1:D5" totalsRowCount="1">
  <autoFilter ref="A1:D4" xr:uid="{9AE46718-5207-4241-9472-21C2A0F3BD02}"/>
  <tableColumns count="4">
    <tableColumn id="1" xr3:uid="{35E429FD-8D4F-482E-A2EB-84CEC85600A3}" name="No." totalsRowLabel="JUMLAH"/>
    <tableColumn id="2" xr3:uid="{CFA6110E-A370-44FE-A972-25FD1400D85A}" name="JENIS _x000a_KENDARAAN"/>
    <tableColumn id="3" xr3:uid="{365E3572-58AA-40D7-9C4C-07E7A51908DE}" name="STA"/>
    <tableColumn id="4" xr3:uid="{32DB0B55-8C83-4629-8D63-D0619C1EA8E4}" name="VOLUME" totalsRowFunction="sum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2E63-5183-42FA-9D8E-AEBD9530E00A}">
  <dimension ref="A1:H43"/>
  <sheetViews>
    <sheetView tabSelected="1" topLeftCell="A7" zoomScale="93" zoomScaleNormal="175" workbookViewId="0">
      <selection activeCell="G44" sqref="G44"/>
    </sheetView>
  </sheetViews>
  <sheetFormatPr defaultRowHeight="15" x14ac:dyDescent="0.25"/>
  <cols>
    <col min="1" max="1" width="6.28515625" customWidth="1"/>
    <col min="2" max="2" width="11" bestFit="1" customWidth="1"/>
    <col min="3" max="3" width="11.5703125" customWidth="1"/>
    <col min="5" max="5" width="9.5703125" customWidth="1"/>
    <col min="6" max="6" width="9.28515625" customWidth="1"/>
    <col min="7" max="7" width="10.7109375" customWidth="1"/>
    <col min="8" max="8" width="1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12</v>
      </c>
    </row>
    <row r="2" spans="1:8" x14ac:dyDescent="0.25">
      <c r="A2" s="1">
        <v>1</v>
      </c>
      <c r="B2" s="2" t="s">
        <v>30</v>
      </c>
      <c r="C2" s="2">
        <v>350</v>
      </c>
      <c r="D2" s="2">
        <v>185</v>
      </c>
      <c r="E2" s="2">
        <v>155</v>
      </c>
      <c r="F2" s="2" t="s">
        <v>13</v>
      </c>
      <c r="G2" s="1">
        <v>11.59</v>
      </c>
      <c r="H2" s="5">
        <v>0.38194444444444442</v>
      </c>
    </row>
    <row r="3" spans="1:8" x14ac:dyDescent="0.25">
      <c r="A3" s="1">
        <v>2</v>
      </c>
      <c r="B3" s="2" t="s">
        <v>31</v>
      </c>
      <c r="C3" s="2">
        <v>345</v>
      </c>
      <c r="D3" s="2">
        <v>172</v>
      </c>
      <c r="E3" s="2">
        <v>155</v>
      </c>
      <c r="F3" s="2" t="s">
        <v>13</v>
      </c>
      <c r="G3" s="1">
        <v>10.62</v>
      </c>
      <c r="H3" s="5">
        <v>0.38819444444444445</v>
      </c>
    </row>
    <row r="4" spans="1:8" x14ac:dyDescent="0.25">
      <c r="A4" s="1">
        <v>3</v>
      </c>
      <c r="B4" s="2" t="s">
        <v>32</v>
      </c>
      <c r="C4" s="2">
        <v>360</v>
      </c>
      <c r="D4" s="2">
        <v>185</v>
      </c>
      <c r="E4" s="2">
        <v>155</v>
      </c>
      <c r="F4" s="2" t="s">
        <v>13</v>
      </c>
      <c r="G4" s="1">
        <v>11.92</v>
      </c>
      <c r="H4" s="5">
        <v>0.3888888888888889</v>
      </c>
    </row>
    <row r="5" spans="1:8" x14ac:dyDescent="0.25">
      <c r="A5" s="1">
        <v>4</v>
      </c>
      <c r="B5" s="2" t="s">
        <v>33</v>
      </c>
      <c r="C5" s="2">
        <v>365</v>
      </c>
      <c r="D5" s="2">
        <v>190</v>
      </c>
      <c r="E5" s="2">
        <v>145</v>
      </c>
      <c r="F5" s="2" t="s">
        <v>22</v>
      </c>
      <c r="G5" s="1">
        <v>11.85</v>
      </c>
      <c r="H5" s="5">
        <v>0.39027777777777778</v>
      </c>
    </row>
    <row r="6" spans="1:8" x14ac:dyDescent="0.25">
      <c r="A6" s="1">
        <v>5</v>
      </c>
      <c r="B6" s="2" t="s">
        <v>34</v>
      </c>
      <c r="C6" s="2">
        <v>360</v>
      </c>
      <c r="D6" s="2">
        <v>190</v>
      </c>
      <c r="E6" s="2">
        <v>165</v>
      </c>
      <c r="F6" s="2" t="s">
        <v>13</v>
      </c>
      <c r="G6" s="1">
        <v>12.92</v>
      </c>
      <c r="H6" s="5">
        <v>0.39166666666666666</v>
      </c>
    </row>
    <row r="7" spans="1:8" x14ac:dyDescent="0.25">
      <c r="A7" s="1">
        <v>6</v>
      </c>
      <c r="B7" s="2" t="s">
        <v>35</v>
      </c>
      <c r="C7" s="2">
        <v>370</v>
      </c>
      <c r="D7" s="2">
        <v>190</v>
      </c>
      <c r="E7" s="2" t="s">
        <v>23</v>
      </c>
      <c r="F7" s="2" t="s">
        <v>24</v>
      </c>
      <c r="G7" s="1">
        <v>10.15</v>
      </c>
      <c r="H7" s="5">
        <v>0.39791666666666664</v>
      </c>
    </row>
    <row r="8" spans="1:8" x14ac:dyDescent="0.25">
      <c r="A8" s="1">
        <v>7</v>
      </c>
      <c r="B8" s="2" t="s">
        <v>36</v>
      </c>
      <c r="C8" s="2">
        <v>345</v>
      </c>
      <c r="D8" s="2">
        <v>185</v>
      </c>
      <c r="E8" s="2">
        <v>135</v>
      </c>
      <c r="F8" s="2" t="s">
        <v>13</v>
      </c>
      <c r="G8" s="1">
        <v>10.14</v>
      </c>
      <c r="H8" s="5">
        <v>0.40069444444444446</v>
      </c>
    </row>
    <row r="9" spans="1:8" x14ac:dyDescent="0.25">
      <c r="A9" s="1">
        <v>8</v>
      </c>
      <c r="B9" s="2" t="s">
        <v>37</v>
      </c>
      <c r="C9" s="2">
        <v>340</v>
      </c>
      <c r="D9" s="2">
        <v>180</v>
      </c>
      <c r="E9" s="2">
        <v>170</v>
      </c>
      <c r="F9" s="2" t="s">
        <v>25</v>
      </c>
      <c r="G9" s="1">
        <v>11.75</v>
      </c>
      <c r="H9" s="5">
        <v>0.40208333333333335</v>
      </c>
    </row>
    <row r="10" spans="1:8" x14ac:dyDescent="0.25">
      <c r="A10" s="1">
        <v>9</v>
      </c>
      <c r="B10" s="2" t="s">
        <v>43</v>
      </c>
      <c r="C10" s="2">
        <v>355</v>
      </c>
      <c r="D10" s="2">
        <v>185</v>
      </c>
      <c r="E10" s="2">
        <v>145</v>
      </c>
      <c r="F10" s="2" t="s">
        <v>22</v>
      </c>
      <c r="G10" s="1">
        <v>11.23</v>
      </c>
      <c r="H10" s="5">
        <v>0.40347222222222223</v>
      </c>
    </row>
    <row r="11" spans="1:8" x14ac:dyDescent="0.25">
      <c r="A11" s="1">
        <v>10</v>
      </c>
      <c r="B11" s="2" t="s">
        <v>38</v>
      </c>
      <c r="C11" s="2">
        <v>360</v>
      </c>
      <c r="D11" s="2">
        <v>185</v>
      </c>
      <c r="E11" s="2">
        <v>140</v>
      </c>
      <c r="F11" s="2" t="s">
        <v>13</v>
      </c>
      <c r="G11" s="1">
        <v>10.92</v>
      </c>
      <c r="H11" s="5">
        <v>0.40486111111111112</v>
      </c>
    </row>
    <row r="12" spans="1:8" x14ac:dyDescent="0.25">
      <c r="A12" s="1">
        <v>11</v>
      </c>
      <c r="B12" s="2" t="s">
        <v>39</v>
      </c>
      <c r="C12" s="2">
        <v>345</v>
      </c>
      <c r="D12" s="2">
        <v>190</v>
      </c>
      <c r="E12" s="2">
        <v>140</v>
      </c>
      <c r="F12" s="2" t="s">
        <v>24</v>
      </c>
      <c r="G12" s="1">
        <v>11.01</v>
      </c>
      <c r="H12" s="5">
        <v>0.40555555555555556</v>
      </c>
    </row>
    <row r="13" spans="1:8" x14ac:dyDescent="0.25">
      <c r="A13" s="1">
        <v>12</v>
      </c>
      <c r="B13" s="2" t="s">
        <v>40</v>
      </c>
      <c r="C13" s="2">
        <v>370</v>
      </c>
      <c r="D13" s="2">
        <v>190</v>
      </c>
      <c r="E13" s="2" t="s">
        <v>10</v>
      </c>
      <c r="F13" s="2" t="s">
        <v>27</v>
      </c>
      <c r="G13" s="1">
        <v>10.5</v>
      </c>
      <c r="H13" s="5">
        <v>0.43680555555555556</v>
      </c>
    </row>
    <row r="14" spans="1:8" x14ac:dyDescent="0.25">
      <c r="A14" s="1">
        <v>13</v>
      </c>
      <c r="B14" s="2" t="s">
        <v>41</v>
      </c>
      <c r="C14" s="2">
        <v>365</v>
      </c>
      <c r="D14" s="2">
        <v>190</v>
      </c>
      <c r="E14" s="2">
        <v>155</v>
      </c>
      <c r="F14" s="2" t="s">
        <v>13</v>
      </c>
      <c r="G14" s="1">
        <v>12.41</v>
      </c>
      <c r="H14" s="5">
        <v>0.44722222222222224</v>
      </c>
    </row>
    <row r="15" spans="1:8" x14ac:dyDescent="0.25">
      <c r="A15" s="1">
        <v>14</v>
      </c>
      <c r="B15" s="2" t="s">
        <v>42</v>
      </c>
      <c r="C15" s="2">
        <v>365</v>
      </c>
      <c r="D15" s="2">
        <v>190</v>
      </c>
      <c r="E15" s="2" t="s">
        <v>10</v>
      </c>
      <c r="F15" s="2" t="s">
        <v>28</v>
      </c>
      <c r="G15" s="1">
        <v>10.49</v>
      </c>
      <c r="H15" s="5">
        <v>0.49236111111111114</v>
      </c>
    </row>
    <row r="16" spans="1:8" x14ac:dyDescent="0.25">
      <c r="A16" s="1">
        <v>15</v>
      </c>
      <c r="B16" s="2" t="s">
        <v>35</v>
      </c>
      <c r="C16" s="2">
        <v>370</v>
      </c>
      <c r="D16" s="2">
        <v>190</v>
      </c>
      <c r="E16" s="2" t="s">
        <v>23</v>
      </c>
      <c r="F16" s="2" t="s">
        <v>22</v>
      </c>
      <c r="G16" s="1">
        <v>10.01</v>
      </c>
      <c r="H16" s="5">
        <v>0.55486111111111114</v>
      </c>
    </row>
    <row r="17" spans="1:8" x14ac:dyDescent="0.25">
      <c r="A17" s="1">
        <v>16</v>
      </c>
      <c r="B17" s="2" t="s">
        <v>34</v>
      </c>
      <c r="C17" s="2">
        <v>360</v>
      </c>
      <c r="D17" s="2">
        <v>190</v>
      </c>
      <c r="E17" s="2">
        <v>165</v>
      </c>
      <c r="F17" s="2" t="s">
        <v>28</v>
      </c>
      <c r="G17" s="1">
        <v>12.85</v>
      </c>
      <c r="H17" s="5">
        <v>0.55625000000000002</v>
      </c>
    </row>
    <row r="18" spans="1:8" x14ac:dyDescent="0.25">
      <c r="A18" s="1">
        <v>17</v>
      </c>
      <c r="B18" s="2" t="s">
        <v>43</v>
      </c>
      <c r="C18" s="2">
        <v>355</v>
      </c>
      <c r="D18" s="2">
        <v>185</v>
      </c>
      <c r="E18" s="2">
        <v>145</v>
      </c>
      <c r="F18" s="2" t="s">
        <v>15</v>
      </c>
      <c r="G18" s="1">
        <v>10.83</v>
      </c>
      <c r="H18" s="5">
        <v>0.55625000000000002</v>
      </c>
    </row>
    <row r="19" spans="1:8" x14ac:dyDescent="0.25">
      <c r="A19" s="1">
        <v>18</v>
      </c>
      <c r="B19" s="2" t="s">
        <v>38</v>
      </c>
      <c r="C19" s="2">
        <v>360</v>
      </c>
      <c r="D19" s="2">
        <v>185</v>
      </c>
      <c r="E19" s="2">
        <v>140</v>
      </c>
      <c r="F19" s="2" t="s">
        <v>29</v>
      </c>
      <c r="G19" s="1">
        <v>10.78</v>
      </c>
      <c r="H19" s="5">
        <v>0.55694444444444446</v>
      </c>
    </row>
    <row r="20" spans="1:8" x14ac:dyDescent="0.25">
      <c r="A20" s="1">
        <v>19</v>
      </c>
      <c r="B20" s="2" t="s">
        <v>33</v>
      </c>
      <c r="C20" s="2">
        <v>365</v>
      </c>
      <c r="D20" s="2">
        <v>190</v>
      </c>
      <c r="E20" s="2">
        <v>145</v>
      </c>
      <c r="F20" s="2" t="s">
        <v>22</v>
      </c>
      <c r="G20" s="1">
        <v>11.85</v>
      </c>
      <c r="H20" s="5">
        <v>0.55763888888888891</v>
      </c>
    </row>
    <row r="21" spans="1:8" x14ac:dyDescent="0.25">
      <c r="A21" s="1">
        <v>20</v>
      </c>
      <c r="B21" s="2" t="s">
        <v>37</v>
      </c>
      <c r="C21" s="2">
        <v>340</v>
      </c>
      <c r="D21" s="2">
        <v>180</v>
      </c>
      <c r="E21" s="2">
        <v>170</v>
      </c>
      <c r="F21" s="2" t="s">
        <v>28</v>
      </c>
      <c r="G21" s="1">
        <v>11.62</v>
      </c>
      <c r="H21" s="5">
        <v>0.55833333333333335</v>
      </c>
    </row>
    <row r="22" spans="1:8" x14ac:dyDescent="0.25">
      <c r="A22" s="1">
        <v>21</v>
      </c>
      <c r="B22" s="2" t="s">
        <v>30</v>
      </c>
      <c r="C22" s="2">
        <v>350</v>
      </c>
      <c r="D22" s="2">
        <v>185</v>
      </c>
      <c r="E22" s="2">
        <v>155</v>
      </c>
      <c r="F22" s="2" t="s">
        <v>25</v>
      </c>
      <c r="G22" s="1">
        <v>11.46</v>
      </c>
      <c r="H22" s="5">
        <v>0.55972222222222223</v>
      </c>
    </row>
    <row r="23" spans="1:8" x14ac:dyDescent="0.25">
      <c r="A23" s="1">
        <v>22</v>
      </c>
      <c r="B23" s="2" t="s">
        <v>32</v>
      </c>
      <c r="C23" s="2">
        <v>360</v>
      </c>
      <c r="D23" s="2">
        <v>185</v>
      </c>
      <c r="E23" s="2">
        <v>155</v>
      </c>
      <c r="F23" s="2" t="s">
        <v>28</v>
      </c>
      <c r="G23" s="1">
        <v>11.65</v>
      </c>
      <c r="H23" s="5">
        <v>0.7416666666666667</v>
      </c>
    </row>
    <row r="24" spans="1:8" x14ac:dyDescent="0.25">
      <c r="A24" s="1">
        <v>23</v>
      </c>
      <c r="B24" s="2" t="s">
        <v>31</v>
      </c>
      <c r="C24" s="2">
        <v>345</v>
      </c>
      <c r="D24" s="2">
        <v>172</v>
      </c>
      <c r="E24" s="2">
        <v>155</v>
      </c>
      <c r="F24" s="2" t="s">
        <v>25</v>
      </c>
      <c r="G24" s="1">
        <v>10.5</v>
      </c>
      <c r="H24" s="5">
        <v>0.76527777777777772</v>
      </c>
    </row>
    <row r="25" spans="1:8" x14ac:dyDescent="0.25">
      <c r="A25" s="1">
        <v>24</v>
      </c>
      <c r="B25" s="2" t="s">
        <v>43</v>
      </c>
      <c r="C25" s="2">
        <v>355</v>
      </c>
      <c r="D25" s="2">
        <v>185</v>
      </c>
      <c r="E25" s="2">
        <v>145</v>
      </c>
      <c r="F25" s="2" t="s">
        <v>13</v>
      </c>
      <c r="G25" s="1">
        <v>11.09</v>
      </c>
      <c r="H25" s="5">
        <v>0.76666666666666672</v>
      </c>
    </row>
    <row r="26" spans="1:8" x14ac:dyDescent="0.25">
      <c r="A26" s="1">
        <v>25</v>
      </c>
      <c r="B26" s="2" t="s">
        <v>6</v>
      </c>
      <c r="C26" s="2">
        <v>365</v>
      </c>
      <c r="D26" s="2">
        <v>190</v>
      </c>
      <c r="E26" s="2" t="s">
        <v>9</v>
      </c>
      <c r="F26" s="2" t="s">
        <v>13</v>
      </c>
      <c r="G26" s="2">
        <v>11.81</v>
      </c>
      <c r="H26" s="5">
        <v>0.3923611111111111</v>
      </c>
    </row>
    <row r="27" spans="1:8" x14ac:dyDescent="0.25">
      <c r="A27" s="1">
        <v>26</v>
      </c>
      <c r="B27" s="2" t="s">
        <v>56</v>
      </c>
      <c r="C27" s="2">
        <v>370</v>
      </c>
      <c r="D27" s="2">
        <v>190</v>
      </c>
      <c r="E27" s="2">
        <v>150</v>
      </c>
      <c r="F27" s="2" t="s">
        <v>25</v>
      </c>
      <c r="G27" s="2">
        <v>12.09</v>
      </c>
      <c r="H27" s="5">
        <v>0.42708333333333331</v>
      </c>
    </row>
    <row r="28" spans="1:8" x14ac:dyDescent="0.25">
      <c r="A28" s="1">
        <v>27</v>
      </c>
      <c r="B28" s="2" t="s">
        <v>7</v>
      </c>
      <c r="C28" s="2">
        <v>365</v>
      </c>
      <c r="D28" s="2">
        <v>185</v>
      </c>
      <c r="E28" s="2">
        <v>150</v>
      </c>
      <c r="F28" s="2" t="s">
        <v>14</v>
      </c>
      <c r="G28" s="2">
        <v>11.61</v>
      </c>
      <c r="H28" s="5">
        <v>0.43888888888888888</v>
      </c>
    </row>
    <row r="29" spans="1:8" x14ac:dyDescent="0.25">
      <c r="A29" s="1">
        <v>28</v>
      </c>
      <c r="B29" s="2" t="s">
        <v>8</v>
      </c>
      <c r="C29" s="2">
        <v>360</v>
      </c>
      <c r="D29" s="2">
        <v>185</v>
      </c>
      <c r="E29" s="2" t="s">
        <v>10</v>
      </c>
      <c r="F29" s="2" t="s">
        <v>28</v>
      </c>
      <c r="G29" s="2">
        <v>10.07</v>
      </c>
      <c r="H29" s="5">
        <v>0.46458333333333335</v>
      </c>
    </row>
    <row r="30" spans="1:8" x14ac:dyDescent="0.25">
      <c r="A30" s="1">
        <v>29</v>
      </c>
      <c r="B30" s="2" t="s">
        <v>57</v>
      </c>
      <c r="C30" s="2">
        <v>370</v>
      </c>
      <c r="D30" s="2">
        <v>190</v>
      </c>
      <c r="E30" s="2" t="s">
        <v>62</v>
      </c>
      <c r="F30" s="2" t="s">
        <v>13</v>
      </c>
      <c r="G30" s="2">
        <v>11.27</v>
      </c>
      <c r="H30" s="5">
        <v>0.47361111111111109</v>
      </c>
    </row>
    <row r="31" spans="1:8" x14ac:dyDescent="0.25">
      <c r="A31" s="1">
        <v>30</v>
      </c>
      <c r="B31" s="2" t="s">
        <v>56</v>
      </c>
      <c r="C31" s="2">
        <v>370</v>
      </c>
      <c r="D31" s="2">
        <v>190</v>
      </c>
      <c r="E31" s="2">
        <v>150</v>
      </c>
      <c r="F31" s="2" t="s">
        <v>13</v>
      </c>
      <c r="G31" s="2">
        <v>12.23</v>
      </c>
      <c r="H31" s="5">
        <v>0.47847222222222224</v>
      </c>
    </row>
    <row r="32" spans="1:8" x14ac:dyDescent="0.25">
      <c r="A32" s="1">
        <v>31</v>
      </c>
      <c r="B32" s="2" t="s">
        <v>58</v>
      </c>
      <c r="C32" s="2">
        <v>370</v>
      </c>
      <c r="D32" s="2">
        <v>190</v>
      </c>
      <c r="E32" s="2" t="s">
        <v>10</v>
      </c>
      <c r="F32" s="2" t="s">
        <v>14</v>
      </c>
      <c r="G32" s="2">
        <v>10.64</v>
      </c>
      <c r="H32" s="5">
        <v>0.49444444444444446</v>
      </c>
    </row>
    <row r="33" spans="1:8" x14ac:dyDescent="0.25">
      <c r="A33" s="1">
        <v>32</v>
      </c>
      <c r="B33" s="2" t="s">
        <v>59</v>
      </c>
      <c r="C33" s="2">
        <v>380</v>
      </c>
      <c r="D33" s="2">
        <v>190</v>
      </c>
      <c r="E33" s="2" t="s">
        <v>10</v>
      </c>
      <c r="F33" s="2" t="s">
        <v>14</v>
      </c>
      <c r="G33" s="2">
        <v>10.94</v>
      </c>
      <c r="H33" s="5">
        <v>0.49513888888888891</v>
      </c>
    </row>
    <row r="34" spans="1:8" x14ac:dyDescent="0.25">
      <c r="A34" s="1">
        <v>33</v>
      </c>
      <c r="B34" s="2" t="s">
        <v>7</v>
      </c>
      <c r="C34" s="2">
        <v>365</v>
      </c>
      <c r="D34" s="2">
        <v>185</v>
      </c>
      <c r="E34" s="2">
        <v>150</v>
      </c>
      <c r="F34" s="2" t="s">
        <v>13</v>
      </c>
      <c r="G34" s="2">
        <v>11.74</v>
      </c>
      <c r="H34" s="5">
        <v>0.73402777777777772</v>
      </c>
    </row>
    <row r="35" spans="1:8" x14ac:dyDescent="0.25">
      <c r="A35" s="1">
        <v>34</v>
      </c>
      <c r="B35" s="2" t="s">
        <v>60</v>
      </c>
      <c r="C35" s="2">
        <v>370</v>
      </c>
      <c r="D35" s="2">
        <v>190</v>
      </c>
      <c r="E35" s="2" t="s">
        <v>10</v>
      </c>
      <c r="F35" s="2" t="s">
        <v>22</v>
      </c>
      <c r="G35" s="2">
        <v>11.06</v>
      </c>
      <c r="H35" s="5">
        <v>0.53402777777777777</v>
      </c>
    </row>
    <row r="36" spans="1:8" x14ac:dyDescent="0.25">
      <c r="A36" s="1">
        <v>35</v>
      </c>
      <c r="B36" s="2" t="s">
        <v>61</v>
      </c>
      <c r="C36" s="2">
        <v>370</v>
      </c>
      <c r="D36" s="2">
        <v>190</v>
      </c>
      <c r="E36" s="2" t="s">
        <v>10</v>
      </c>
      <c r="F36" s="2" t="s">
        <v>22</v>
      </c>
      <c r="G36" s="2">
        <v>11.06</v>
      </c>
      <c r="H36" s="5">
        <v>0.76111111111111107</v>
      </c>
    </row>
    <row r="37" spans="1:8" x14ac:dyDescent="0.25">
      <c r="A37" s="1">
        <v>36</v>
      </c>
      <c r="B37" s="2" t="s">
        <v>6</v>
      </c>
      <c r="C37" s="2">
        <v>365</v>
      </c>
      <c r="D37" s="2">
        <v>190</v>
      </c>
      <c r="E37" s="2" t="s">
        <v>9</v>
      </c>
      <c r="F37" s="2" t="s">
        <v>14</v>
      </c>
      <c r="G37" s="2">
        <v>11.67</v>
      </c>
      <c r="H37" s="5">
        <v>0.76875000000000004</v>
      </c>
    </row>
    <row r="38" spans="1:8" x14ac:dyDescent="0.25">
      <c r="A38" s="1">
        <v>37</v>
      </c>
      <c r="B38" s="2" t="s">
        <v>57</v>
      </c>
      <c r="C38" s="2">
        <v>370</v>
      </c>
      <c r="D38" s="2">
        <v>190</v>
      </c>
      <c r="E38" s="2" t="s">
        <v>62</v>
      </c>
      <c r="F38" s="2" t="s">
        <v>25</v>
      </c>
      <c r="G38" s="2">
        <v>11.13</v>
      </c>
      <c r="H38" s="5">
        <v>0.77222222222222225</v>
      </c>
    </row>
    <row r="39" spans="1:8" x14ac:dyDescent="0.25">
      <c r="A39" s="1"/>
      <c r="B39" s="2"/>
      <c r="C39" s="2"/>
      <c r="D39" s="2"/>
      <c r="E39" s="2"/>
      <c r="F39" s="2"/>
      <c r="G39" s="2"/>
      <c r="H39" s="5"/>
    </row>
    <row r="40" spans="1:8" x14ac:dyDescent="0.25">
      <c r="A40" s="1"/>
      <c r="B40" s="2"/>
      <c r="C40" s="2"/>
      <c r="D40" s="2"/>
      <c r="E40" s="2"/>
      <c r="F40" s="2"/>
      <c r="G40" s="1"/>
      <c r="H40" s="5"/>
    </row>
    <row r="41" spans="1:8" x14ac:dyDescent="0.25">
      <c r="A41" s="1"/>
      <c r="B41" s="2"/>
      <c r="C41" s="2"/>
      <c r="D41" s="2"/>
      <c r="E41" s="2"/>
      <c r="F41" s="2"/>
      <c r="G41" s="1"/>
      <c r="H41" s="5"/>
    </row>
    <row r="42" spans="1:8" x14ac:dyDescent="0.25">
      <c r="A42" s="2"/>
      <c r="B42" s="2"/>
      <c r="C42" s="2"/>
      <c r="D42" s="2"/>
      <c r="E42" s="2"/>
      <c r="F42" s="2"/>
      <c r="G42" s="4" t="s">
        <v>16</v>
      </c>
      <c r="H42" s="2"/>
    </row>
    <row r="43" spans="1:8" x14ac:dyDescent="0.25">
      <c r="A43" s="2"/>
      <c r="B43" s="2"/>
      <c r="C43" s="2"/>
      <c r="D43" s="2"/>
      <c r="E43" s="2"/>
      <c r="F43" s="2"/>
      <c r="G43" s="1">
        <f>SUM(G2:G38)</f>
        <v>417.46000000000004</v>
      </c>
      <c r="H4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1611-3138-4DB8-A5FA-C0C102A7690C}">
  <dimension ref="A1:H37"/>
  <sheetViews>
    <sheetView topLeftCell="A10" zoomScale="74" workbookViewId="0">
      <selection activeCell="J40" sqref="J40"/>
    </sheetView>
  </sheetViews>
  <sheetFormatPr defaultRowHeight="15" x14ac:dyDescent="0.25"/>
  <cols>
    <col min="1" max="1" width="6.28515625" customWidth="1"/>
    <col min="2" max="2" width="20.42578125" customWidth="1"/>
    <col min="3" max="3" width="11.5703125" customWidth="1"/>
    <col min="4" max="4" width="8.85546875" customWidth="1"/>
    <col min="5" max="5" width="9.5703125" customWidth="1"/>
    <col min="6" max="6" width="9.28515625" customWidth="1"/>
    <col min="7" max="7" width="10.7109375" customWidth="1"/>
    <col min="8" max="8" width="1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12</v>
      </c>
    </row>
    <row r="2" spans="1:8" x14ac:dyDescent="0.25">
      <c r="A2" s="6">
        <v>1</v>
      </c>
      <c r="B2" s="7" t="s">
        <v>44</v>
      </c>
      <c r="C2" s="7">
        <v>365</v>
      </c>
      <c r="D2" s="7">
        <v>190</v>
      </c>
      <c r="E2" s="7" t="s">
        <v>21</v>
      </c>
      <c r="F2" s="7" t="s">
        <v>13</v>
      </c>
      <c r="G2" s="6">
        <v>12.41</v>
      </c>
      <c r="H2" s="8">
        <v>0.58333333333333337</v>
      </c>
    </row>
    <row r="3" spans="1:8" x14ac:dyDescent="0.25">
      <c r="A3" s="6">
        <v>2</v>
      </c>
      <c r="B3" s="7" t="s">
        <v>32</v>
      </c>
      <c r="C3" s="7">
        <v>360</v>
      </c>
      <c r="D3" s="7">
        <v>185</v>
      </c>
      <c r="E3" s="7" t="s">
        <v>21</v>
      </c>
      <c r="F3" s="7" t="s">
        <v>25</v>
      </c>
      <c r="G3" s="6">
        <v>11.78</v>
      </c>
      <c r="H3" s="8">
        <v>0.59583333333333333</v>
      </c>
    </row>
    <row r="4" spans="1:8" x14ac:dyDescent="0.25">
      <c r="A4" s="6">
        <v>3</v>
      </c>
      <c r="B4" s="7" t="s">
        <v>45</v>
      </c>
      <c r="C4" s="7">
        <v>340</v>
      </c>
      <c r="D4" s="7">
        <v>180</v>
      </c>
      <c r="E4" s="7" t="s">
        <v>26</v>
      </c>
      <c r="F4" s="7" t="s">
        <v>13</v>
      </c>
      <c r="G4" s="6">
        <v>10.59</v>
      </c>
      <c r="H4" s="8">
        <v>0.59722222222222221</v>
      </c>
    </row>
    <row r="5" spans="1:8" x14ac:dyDescent="0.25">
      <c r="A5" s="6">
        <v>4</v>
      </c>
      <c r="B5" s="7" t="s">
        <v>31</v>
      </c>
      <c r="C5" s="7">
        <v>345</v>
      </c>
      <c r="D5" s="7">
        <v>172</v>
      </c>
      <c r="E5" s="7" t="s">
        <v>51</v>
      </c>
      <c r="F5" s="7" t="s">
        <v>14</v>
      </c>
      <c r="G5" s="6">
        <v>10.5</v>
      </c>
      <c r="H5" s="8">
        <v>0.6020833333333333</v>
      </c>
    </row>
    <row r="6" spans="1:8" x14ac:dyDescent="0.25">
      <c r="A6" s="6">
        <v>5</v>
      </c>
      <c r="B6" s="7" t="s">
        <v>46</v>
      </c>
      <c r="C6" s="7">
        <v>360</v>
      </c>
      <c r="D6" s="7">
        <v>190</v>
      </c>
      <c r="E6" s="7" t="s">
        <v>26</v>
      </c>
      <c r="F6" s="7" t="s">
        <v>28</v>
      </c>
      <c r="G6" s="6">
        <v>10.94</v>
      </c>
      <c r="H6" s="8">
        <v>0.6479166666666667</v>
      </c>
    </row>
    <row r="7" spans="1:8" x14ac:dyDescent="0.25">
      <c r="A7" s="6">
        <v>6</v>
      </c>
      <c r="B7" s="7" t="s">
        <v>47</v>
      </c>
      <c r="C7" s="7">
        <v>360</v>
      </c>
      <c r="D7" s="7">
        <v>185</v>
      </c>
      <c r="E7" s="7" t="s">
        <v>23</v>
      </c>
      <c r="F7" s="7" t="s">
        <v>13</v>
      </c>
      <c r="G7" s="6">
        <v>10</v>
      </c>
      <c r="H7" s="8">
        <v>0.64166666666666672</v>
      </c>
    </row>
    <row r="8" spans="1:8" x14ac:dyDescent="0.25">
      <c r="A8" s="6">
        <v>7</v>
      </c>
      <c r="B8" s="7" t="s">
        <v>48</v>
      </c>
      <c r="C8" s="7">
        <v>360</v>
      </c>
      <c r="D8" s="7">
        <v>185</v>
      </c>
      <c r="E8" s="7" t="s">
        <v>52</v>
      </c>
      <c r="F8" s="7" t="s">
        <v>53</v>
      </c>
      <c r="G8" s="6">
        <v>10.75</v>
      </c>
      <c r="H8" s="8">
        <v>0.65</v>
      </c>
    </row>
    <row r="9" spans="1:8" x14ac:dyDescent="0.25">
      <c r="A9" s="6">
        <v>8</v>
      </c>
      <c r="B9" s="7" t="s">
        <v>37</v>
      </c>
      <c r="C9" s="7">
        <v>340</v>
      </c>
      <c r="D9" s="7">
        <v>180</v>
      </c>
      <c r="E9" s="7">
        <v>168</v>
      </c>
      <c r="F9" s="7" t="s">
        <v>54</v>
      </c>
      <c r="G9" s="6">
        <v>11.87</v>
      </c>
      <c r="H9" s="8">
        <v>0.69930555555555551</v>
      </c>
    </row>
    <row r="10" spans="1:8" x14ac:dyDescent="0.25">
      <c r="A10" s="6">
        <v>9</v>
      </c>
      <c r="B10" s="7" t="s">
        <v>30</v>
      </c>
      <c r="C10" s="7">
        <v>350</v>
      </c>
      <c r="D10" s="7">
        <v>185</v>
      </c>
      <c r="E10" s="7">
        <v>155</v>
      </c>
      <c r="F10" s="7" t="s">
        <v>28</v>
      </c>
      <c r="G10" s="6">
        <v>11.33</v>
      </c>
      <c r="H10" s="8">
        <v>0.70347222222222228</v>
      </c>
    </row>
    <row r="11" spans="1:8" x14ac:dyDescent="0.25">
      <c r="A11" s="6">
        <v>10</v>
      </c>
      <c r="B11" s="7" t="s">
        <v>49</v>
      </c>
      <c r="C11" s="7">
        <v>360</v>
      </c>
      <c r="D11" s="7">
        <v>185</v>
      </c>
      <c r="E11" s="7">
        <v>140</v>
      </c>
      <c r="F11" s="7" t="s">
        <v>28</v>
      </c>
      <c r="G11" s="6">
        <v>10.65</v>
      </c>
      <c r="H11" s="8">
        <v>0.70486111111111116</v>
      </c>
    </row>
    <row r="12" spans="1:8" x14ac:dyDescent="0.25">
      <c r="A12" s="6">
        <v>11</v>
      </c>
      <c r="B12" s="7" t="s">
        <v>50</v>
      </c>
      <c r="C12" s="7">
        <v>365</v>
      </c>
      <c r="D12" s="7">
        <v>190</v>
      </c>
      <c r="E12" s="7">
        <v>145</v>
      </c>
      <c r="F12" s="7" t="s">
        <v>55</v>
      </c>
      <c r="G12" s="6">
        <v>11.85</v>
      </c>
      <c r="H12" s="8">
        <v>0.70694444444444449</v>
      </c>
    </row>
    <row r="13" spans="1:8" x14ac:dyDescent="0.25">
      <c r="A13" s="6">
        <v>12</v>
      </c>
      <c r="B13" s="7" t="s">
        <v>34</v>
      </c>
      <c r="C13" s="7">
        <v>360</v>
      </c>
      <c r="D13" s="7">
        <v>190</v>
      </c>
      <c r="E13" s="7">
        <v>165</v>
      </c>
      <c r="F13" s="7" t="s">
        <v>25</v>
      </c>
      <c r="G13" s="6">
        <v>12.79</v>
      </c>
      <c r="H13" s="8">
        <v>0.70763888888888893</v>
      </c>
    </row>
    <row r="14" spans="1:8" x14ac:dyDescent="0.25">
      <c r="A14" s="6">
        <v>13</v>
      </c>
      <c r="B14" s="7" t="s">
        <v>44</v>
      </c>
      <c r="C14" s="7">
        <v>365</v>
      </c>
      <c r="D14" s="7">
        <v>190</v>
      </c>
      <c r="E14" s="7">
        <v>155</v>
      </c>
      <c r="F14" s="7" t="s">
        <v>13</v>
      </c>
      <c r="G14" s="6">
        <v>12.41</v>
      </c>
      <c r="H14" s="8">
        <v>0.7270833333333333</v>
      </c>
    </row>
    <row r="15" spans="1:8" x14ac:dyDescent="0.25">
      <c r="A15" s="6">
        <v>14</v>
      </c>
      <c r="B15" s="7" t="s">
        <v>45</v>
      </c>
      <c r="C15" s="7">
        <v>345</v>
      </c>
      <c r="D15" s="7">
        <v>190</v>
      </c>
      <c r="E15" s="7">
        <v>140</v>
      </c>
      <c r="F15" s="7" t="s">
        <v>14</v>
      </c>
      <c r="G15" s="6">
        <v>10.61</v>
      </c>
      <c r="H15" s="8">
        <v>0.72916666666666663</v>
      </c>
    </row>
    <row r="16" spans="1:8" x14ac:dyDescent="0.25">
      <c r="A16" s="6">
        <v>15</v>
      </c>
      <c r="B16" s="2" t="s">
        <v>69</v>
      </c>
      <c r="C16" s="2">
        <v>365</v>
      </c>
      <c r="D16" s="2">
        <v>185</v>
      </c>
      <c r="E16" s="2">
        <v>147</v>
      </c>
      <c r="F16" s="2" t="s">
        <v>13</v>
      </c>
      <c r="G16" s="6">
        <v>11.54</v>
      </c>
      <c r="H16" s="5">
        <v>0.55833333333333335</v>
      </c>
    </row>
    <row r="17" spans="1:8" x14ac:dyDescent="0.25">
      <c r="A17" s="6">
        <v>16</v>
      </c>
      <c r="B17" s="2" t="s">
        <v>7</v>
      </c>
      <c r="C17" s="2">
        <v>365</v>
      </c>
      <c r="D17" s="2">
        <v>185</v>
      </c>
      <c r="E17" s="2">
        <v>145</v>
      </c>
      <c r="F17" s="2" t="s">
        <v>29</v>
      </c>
      <c r="G17" s="6">
        <v>11.27</v>
      </c>
      <c r="H17" s="5">
        <v>0.5708333333333333</v>
      </c>
    </row>
    <row r="18" spans="1:8" x14ac:dyDescent="0.25">
      <c r="A18" s="6">
        <v>17</v>
      </c>
      <c r="B18" s="2" t="s">
        <v>6</v>
      </c>
      <c r="C18" s="2">
        <v>365</v>
      </c>
      <c r="D18" s="2">
        <v>190</v>
      </c>
      <c r="E18" s="2" t="s">
        <v>62</v>
      </c>
      <c r="F18" s="2" t="s">
        <v>24</v>
      </c>
      <c r="G18" s="6">
        <v>12.09</v>
      </c>
      <c r="H18" s="5">
        <v>0.57430555555555551</v>
      </c>
    </row>
    <row r="19" spans="1:8" x14ac:dyDescent="0.25">
      <c r="A19" s="6">
        <v>18</v>
      </c>
      <c r="B19" s="2" t="s">
        <v>63</v>
      </c>
      <c r="C19" s="2">
        <v>380</v>
      </c>
      <c r="D19" s="2">
        <v>190</v>
      </c>
      <c r="E19" s="2" t="s">
        <v>10</v>
      </c>
      <c r="F19" s="2" t="s">
        <v>22</v>
      </c>
      <c r="G19" s="6">
        <v>11.37</v>
      </c>
      <c r="H19" s="5">
        <v>0.6020833333333333</v>
      </c>
    </row>
    <row r="20" spans="1:8" x14ac:dyDescent="0.25">
      <c r="A20" s="6">
        <v>19</v>
      </c>
      <c r="B20" s="2" t="s">
        <v>64</v>
      </c>
      <c r="C20" s="2">
        <v>370</v>
      </c>
      <c r="D20" s="2">
        <v>185</v>
      </c>
      <c r="E20" s="2" t="s">
        <v>10</v>
      </c>
      <c r="F20" s="2" t="s">
        <v>24</v>
      </c>
      <c r="G20" s="6">
        <v>10.9</v>
      </c>
      <c r="H20" s="5">
        <v>0.60347222222222219</v>
      </c>
    </row>
    <row r="21" spans="1:8" x14ac:dyDescent="0.25">
      <c r="A21" s="6">
        <v>20</v>
      </c>
      <c r="B21" s="2" t="s">
        <v>60</v>
      </c>
      <c r="C21" s="2">
        <v>370</v>
      </c>
      <c r="D21" s="2">
        <v>190</v>
      </c>
      <c r="E21" s="2" t="s">
        <v>10</v>
      </c>
      <c r="F21" s="2" t="s">
        <v>13</v>
      </c>
      <c r="G21" s="6">
        <v>10.92</v>
      </c>
      <c r="H21" s="5">
        <v>0.60416666666666663</v>
      </c>
    </row>
    <row r="22" spans="1:8" x14ac:dyDescent="0.25">
      <c r="A22" s="6">
        <v>21</v>
      </c>
      <c r="B22" s="2" t="s">
        <v>61</v>
      </c>
      <c r="C22" s="2">
        <v>370</v>
      </c>
      <c r="D22" s="2">
        <v>190</v>
      </c>
      <c r="E22" s="2" t="s">
        <v>10</v>
      </c>
      <c r="F22" s="2" t="s">
        <v>13</v>
      </c>
      <c r="G22" s="6">
        <v>10.92</v>
      </c>
      <c r="H22" s="5">
        <v>0.59861111111111109</v>
      </c>
    </row>
    <row r="23" spans="1:8" x14ac:dyDescent="0.25">
      <c r="A23" s="6">
        <v>22</v>
      </c>
      <c r="B23" s="2" t="s">
        <v>70</v>
      </c>
      <c r="C23" s="2">
        <v>370</v>
      </c>
      <c r="D23" s="2">
        <v>190</v>
      </c>
      <c r="E23" s="2" t="s">
        <v>10</v>
      </c>
      <c r="F23" s="2" t="s">
        <v>24</v>
      </c>
      <c r="G23" s="6">
        <v>11.2</v>
      </c>
      <c r="H23" s="5">
        <v>0.59930555555555554</v>
      </c>
    </row>
    <row r="24" spans="1:8" x14ac:dyDescent="0.25">
      <c r="A24" s="6">
        <v>23</v>
      </c>
      <c r="B24" s="2" t="s">
        <v>65</v>
      </c>
      <c r="C24" s="2">
        <v>370</v>
      </c>
      <c r="D24" s="2">
        <v>200</v>
      </c>
      <c r="E24" s="2" t="s">
        <v>62</v>
      </c>
      <c r="F24" s="2" t="s">
        <v>28</v>
      </c>
      <c r="G24" s="6">
        <v>11.59</v>
      </c>
      <c r="H24" s="5">
        <v>0.60069444444444442</v>
      </c>
    </row>
    <row r="25" spans="1:8" x14ac:dyDescent="0.25">
      <c r="A25" s="6">
        <v>24</v>
      </c>
      <c r="B25" s="2" t="s">
        <v>71</v>
      </c>
      <c r="C25" s="2">
        <v>365</v>
      </c>
      <c r="D25" s="2">
        <v>190</v>
      </c>
      <c r="E25" s="2" t="s">
        <v>68</v>
      </c>
      <c r="F25" s="2" t="s">
        <v>24</v>
      </c>
      <c r="G25" s="6">
        <v>10.7</v>
      </c>
      <c r="H25" s="5">
        <v>0.6020833333333333</v>
      </c>
    </row>
    <row r="26" spans="1:8" x14ac:dyDescent="0.25">
      <c r="A26" s="6">
        <v>25</v>
      </c>
      <c r="B26" s="2" t="s">
        <v>57</v>
      </c>
      <c r="C26" s="2">
        <v>370</v>
      </c>
      <c r="D26" s="2">
        <v>190</v>
      </c>
      <c r="E26" s="2" t="s">
        <v>62</v>
      </c>
      <c r="F26" s="2" t="s">
        <v>24</v>
      </c>
      <c r="G26" s="6">
        <v>11.56</v>
      </c>
      <c r="H26" s="5">
        <v>0.63055555555555554</v>
      </c>
    </row>
    <row r="27" spans="1:8" x14ac:dyDescent="0.25">
      <c r="A27" s="6">
        <v>26</v>
      </c>
      <c r="B27" s="2" t="s">
        <v>56</v>
      </c>
      <c r="C27" s="2">
        <v>370</v>
      </c>
      <c r="D27" s="2">
        <v>190</v>
      </c>
      <c r="E27" s="2">
        <v>150</v>
      </c>
      <c r="F27" s="2" t="s">
        <v>25</v>
      </c>
      <c r="G27" s="6">
        <v>12.44</v>
      </c>
      <c r="H27" s="5">
        <v>0.64652777777777781</v>
      </c>
    </row>
    <row r="28" spans="1:8" x14ac:dyDescent="0.25">
      <c r="A28" s="6">
        <v>27</v>
      </c>
      <c r="B28" s="2" t="s">
        <v>66</v>
      </c>
      <c r="C28" s="2">
        <v>370</v>
      </c>
      <c r="D28" s="2">
        <v>190</v>
      </c>
      <c r="E28" s="2" t="s">
        <v>10</v>
      </c>
      <c r="F28" s="2" t="s">
        <v>13</v>
      </c>
      <c r="G28" s="6">
        <v>10.92</v>
      </c>
      <c r="H28" s="5">
        <v>0.68888888888888888</v>
      </c>
    </row>
    <row r="29" spans="1:8" x14ac:dyDescent="0.25">
      <c r="A29" s="6">
        <v>28</v>
      </c>
      <c r="B29" s="2" t="s">
        <v>67</v>
      </c>
      <c r="C29" s="2">
        <v>370</v>
      </c>
      <c r="D29" s="2">
        <v>190</v>
      </c>
      <c r="E29" s="2" t="s">
        <v>62</v>
      </c>
      <c r="F29" s="2" t="s">
        <v>14</v>
      </c>
      <c r="G29" s="6">
        <v>11.13</v>
      </c>
      <c r="H29" s="5">
        <v>0.68958333333333333</v>
      </c>
    </row>
    <row r="30" spans="1:8" x14ac:dyDescent="0.25">
      <c r="A30" s="6">
        <v>29</v>
      </c>
      <c r="B30" s="2" t="s">
        <v>63</v>
      </c>
      <c r="C30" s="2">
        <v>380</v>
      </c>
      <c r="D30" s="2">
        <v>190</v>
      </c>
      <c r="E30" s="2" t="s">
        <v>10</v>
      </c>
      <c r="F30" s="2" t="s">
        <v>24</v>
      </c>
      <c r="G30" s="7">
        <v>11.51</v>
      </c>
      <c r="H30" s="5">
        <v>0.72569444444444442</v>
      </c>
    </row>
    <row r="31" spans="1:8" x14ac:dyDescent="0.25">
      <c r="A31" s="6">
        <v>30</v>
      </c>
      <c r="B31" s="2" t="s">
        <v>70</v>
      </c>
      <c r="C31" s="2">
        <v>380</v>
      </c>
      <c r="D31" s="2">
        <v>190</v>
      </c>
      <c r="E31" s="2" t="s">
        <v>10</v>
      </c>
      <c r="F31" s="2" t="s">
        <v>25</v>
      </c>
      <c r="G31" s="7">
        <v>11.08</v>
      </c>
      <c r="H31" s="5">
        <v>0.72638888888888886</v>
      </c>
    </row>
    <row r="32" spans="1:8" x14ac:dyDescent="0.25">
      <c r="A32" s="6">
        <v>31</v>
      </c>
      <c r="B32" s="2" t="s">
        <v>64</v>
      </c>
      <c r="C32" s="2">
        <v>370</v>
      </c>
      <c r="D32" s="2">
        <v>185</v>
      </c>
      <c r="E32" s="2" t="s">
        <v>10</v>
      </c>
      <c r="F32" s="2" t="s">
        <v>13</v>
      </c>
      <c r="G32" s="7">
        <v>10.63</v>
      </c>
      <c r="H32" s="5">
        <v>0.72777777777777775</v>
      </c>
    </row>
    <row r="33" spans="1:8" x14ac:dyDescent="0.25">
      <c r="A33" s="6">
        <v>32</v>
      </c>
      <c r="B33" s="2" t="s">
        <v>71</v>
      </c>
      <c r="C33" s="2">
        <v>365</v>
      </c>
      <c r="D33" s="2">
        <v>190</v>
      </c>
      <c r="E33" s="2" t="s">
        <v>68</v>
      </c>
      <c r="F33" s="2" t="s">
        <v>14</v>
      </c>
      <c r="G33" s="7">
        <v>10.29</v>
      </c>
      <c r="H33" s="5">
        <v>0.73055555555555551</v>
      </c>
    </row>
    <row r="34" spans="1:8" x14ac:dyDescent="0.25">
      <c r="A34" s="7"/>
      <c r="B34" s="7"/>
      <c r="C34" s="7"/>
      <c r="D34" s="7"/>
      <c r="E34" s="7"/>
      <c r="F34" s="7"/>
      <c r="G34" s="7"/>
      <c r="H34" s="7"/>
    </row>
    <row r="35" spans="1:8" x14ac:dyDescent="0.25">
      <c r="A35" s="7"/>
      <c r="B35" s="7"/>
      <c r="C35" s="7"/>
      <c r="D35" s="7"/>
      <c r="E35" s="7"/>
      <c r="F35" s="4"/>
      <c r="G35" s="7"/>
      <c r="H35" s="7"/>
    </row>
    <row r="36" spans="1:8" x14ac:dyDescent="0.25">
      <c r="A36" s="7" t="s">
        <v>73</v>
      </c>
      <c r="B36" s="7"/>
      <c r="C36" s="7"/>
      <c r="D36" s="7"/>
      <c r="E36" s="7"/>
      <c r="F36" s="7"/>
      <c r="G36">
        <f>SUM(G2:G33)</f>
        <v>360.53999999999996</v>
      </c>
      <c r="H36" s="7"/>
    </row>
    <row r="37" spans="1:8" x14ac:dyDescent="0.25">
      <c r="A37" s="7"/>
      <c r="B37" s="7"/>
      <c r="C37" s="7"/>
      <c r="D37" s="7"/>
      <c r="E37" s="7"/>
      <c r="F37" s="7"/>
      <c r="G37" s="7"/>
      <c r="H37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3ADE-29F4-495F-9663-0FD8E7F14254}">
  <dimension ref="A1:D5"/>
  <sheetViews>
    <sheetView workbookViewId="0">
      <selection activeCell="F24" sqref="F24"/>
    </sheetView>
  </sheetViews>
  <sheetFormatPr defaultColWidth="10.85546875" defaultRowHeight="15" x14ac:dyDescent="0.25"/>
  <cols>
    <col min="1" max="1" width="6.28515625" customWidth="1"/>
    <col min="2" max="2" width="13.42578125" customWidth="1"/>
  </cols>
  <sheetData>
    <row r="1" spans="1:4" ht="30" x14ac:dyDescent="0.25">
      <c r="A1" s="1" t="s">
        <v>0</v>
      </c>
      <c r="B1" s="3" t="s">
        <v>17</v>
      </c>
      <c r="C1" s="3" t="s">
        <v>19</v>
      </c>
      <c r="D1" s="1" t="s">
        <v>11</v>
      </c>
    </row>
    <row r="2" spans="1:4" x14ac:dyDescent="0.25">
      <c r="A2" s="2">
        <v>1</v>
      </c>
      <c r="B2" s="2" t="s">
        <v>18</v>
      </c>
      <c r="C2" s="2" t="s">
        <v>20</v>
      </c>
      <c r="D2" s="2">
        <f>'DT KECIL 24+350'!G43</f>
        <v>417.46000000000004</v>
      </c>
    </row>
    <row r="3" spans="1:4" x14ac:dyDescent="0.25">
      <c r="A3" s="2">
        <v>2</v>
      </c>
      <c r="B3" s="2" t="s">
        <v>18</v>
      </c>
      <c r="C3" s="2" t="s">
        <v>72</v>
      </c>
      <c r="D3" s="2">
        <f>Table3[[#Totals],[VOLUME]]</f>
        <v>360.53999999999996</v>
      </c>
    </row>
    <row r="4" spans="1:4" ht="14.25" customHeight="1" x14ac:dyDescent="0.25">
      <c r="A4" s="2"/>
      <c r="B4" s="2"/>
      <c r="C4" s="2"/>
      <c r="D4" s="2"/>
    </row>
    <row r="5" spans="1:4" x14ac:dyDescent="0.25">
      <c r="A5" t="s">
        <v>16</v>
      </c>
      <c r="D5">
        <f>SUBTOTAL(109,Table1[VOLUME])</f>
        <v>778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 KECIL 24+350</vt:lpstr>
      <vt:lpstr>DT KECIL PSL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6287738128331</dc:creator>
  <cp:lastModifiedBy>6287738128331</cp:lastModifiedBy>
  <dcterms:created xsi:type="dcterms:W3CDTF">2026-09-14T08:39:36Z</dcterms:created>
  <dcterms:modified xsi:type="dcterms:W3CDTF">2026-09-14T15:02:20Z</dcterms:modified>
</cp:coreProperties>
</file>