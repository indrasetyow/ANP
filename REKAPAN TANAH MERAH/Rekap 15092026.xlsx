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2877\Documents\PT ANP\REKAPAN TANAH MERAH\"/>
    </mc:Choice>
  </mc:AlternateContent>
  <xr:revisionPtr revIDLastSave="0" documentId="13_ncr:1_{4999A431-6F05-4DC9-BDEB-E8511B42292C}" xr6:coauthVersionLast="47" xr6:coauthVersionMax="47" xr10:uidLastSave="{00000000-0000-0000-0000-000000000000}"/>
  <bookViews>
    <workbookView xWindow="-105" yWindow="0" windowWidth="14610" windowHeight="15585" firstSheet="1" activeTab="2" xr2:uid="{1A1D2953-5042-4C85-9675-41FC840E0F94}"/>
  </bookViews>
  <sheets>
    <sheet name="DT KECIL 24+350" sheetId="1" r:id="rId1"/>
    <sheet name="DT KECIL PSL" sheetId="2" r:id="rId2"/>
    <sheet name="DT BESAR STA 24" sheetId="5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4" l="1"/>
  <c r="G11" i="5"/>
  <c r="G14" i="2" l="1"/>
  <c r="D3" i="4" s="1"/>
  <c r="G22" i="1"/>
  <c r="D2" i="4" s="1"/>
  <c r="D6" i="4" l="1"/>
  <c r="J16" i="1"/>
  <c r="J17" i="1"/>
  <c r="J15" i="1"/>
  <c r="J10" i="1"/>
  <c r="J11" i="1"/>
  <c r="J14" i="1"/>
  <c r="J8" i="1"/>
  <c r="J12" i="1"/>
  <c r="J5" i="1"/>
  <c r="J7" i="1"/>
  <c r="J3" i="1"/>
  <c r="J2" i="1"/>
  <c r="J4" i="1"/>
  <c r="J13" i="1"/>
  <c r="J6" i="1"/>
  <c r="J9" i="1"/>
</calcChain>
</file>

<file path=xl/sharedStrings.xml><?xml version="1.0" encoding="utf-8"?>
<sst xmlns="http://schemas.openxmlformats.org/spreadsheetml/2006/main" count="97" uniqueCount="55">
  <si>
    <t>No.</t>
  </si>
  <si>
    <t>PLAT</t>
  </si>
  <si>
    <t>PANJANG</t>
  </si>
  <si>
    <t>LEBAR</t>
  </si>
  <si>
    <t>TINGGI</t>
  </si>
  <si>
    <t>PALASI</t>
  </si>
  <si>
    <t>H 8756 QA</t>
  </si>
  <si>
    <t>115+20</t>
  </si>
  <si>
    <t>VOLUME</t>
  </si>
  <si>
    <t>JAM MASUK</t>
  </si>
  <si>
    <t>60/24</t>
  </si>
  <si>
    <t>55/22</t>
  </si>
  <si>
    <t>50/20</t>
  </si>
  <si>
    <t>JUMLAH</t>
  </si>
  <si>
    <t>JENIS 
KENDARAAN</t>
  </si>
  <si>
    <t>DT KECIL</t>
  </si>
  <si>
    <t>STA</t>
  </si>
  <si>
    <t>24+350</t>
  </si>
  <si>
    <t>65/26</t>
  </si>
  <si>
    <t>100+20</t>
  </si>
  <si>
    <t>57/22</t>
  </si>
  <si>
    <t>K 8592 JS</t>
  </si>
  <si>
    <t>H 8172 FG</t>
  </si>
  <si>
    <t>K 8636 TD</t>
  </si>
  <si>
    <t>L 9369 UX</t>
  </si>
  <si>
    <t>K 8231 KS</t>
  </si>
  <si>
    <t>K 1485 LK</t>
  </si>
  <si>
    <t>125+20</t>
  </si>
  <si>
    <t>61/26</t>
  </si>
  <si>
    <t>PSL</t>
  </si>
  <si>
    <t>Total</t>
  </si>
  <si>
    <t>Ag 9138 U</t>
  </si>
  <si>
    <t>K 8699 OS</t>
  </si>
  <si>
    <t>N 8836 UE</t>
  </si>
  <si>
    <t>K 8141 LS</t>
  </si>
  <si>
    <t>W 8775 QI</t>
  </si>
  <si>
    <t>49/18</t>
  </si>
  <si>
    <t>80/32</t>
  </si>
  <si>
    <t>F 8277 UO</t>
  </si>
  <si>
    <t>60/54</t>
  </si>
  <si>
    <t>E 9336 AC</t>
  </si>
  <si>
    <t>AD 1615 MP</t>
  </si>
  <si>
    <t>D 8202 YA</t>
  </si>
  <si>
    <t>Ag 9138 V</t>
  </si>
  <si>
    <t>AA 9269 YF</t>
  </si>
  <si>
    <t>K 8699 DS</t>
  </si>
  <si>
    <t>AA 9050 UN</t>
  </si>
  <si>
    <t>AG 9825 UJ</t>
  </si>
  <si>
    <t>K 8984 JS</t>
  </si>
  <si>
    <t>AA 9940 YF</t>
  </si>
  <si>
    <t>G 8791 OC</t>
  </si>
  <si>
    <t>AB 8262 FD</t>
  </si>
  <si>
    <t>B 9235 TIS</t>
  </si>
  <si>
    <t>60/20</t>
  </si>
  <si>
    <t>DT 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</si>
</sst>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4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5" formatCode="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F53805-AB54-4872-8E45-2C1D433D76AB}" name="Table4" displayName="Table4" ref="A1:H22" totalsRowShown="0" headerRowDxfId="44" dataDxfId="43">
  <autoFilter ref="A1:H22" xr:uid="{80F53805-AB54-4872-8E45-2C1D433D76AB}"/>
  <tableColumns count="8">
    <tableColumn id="1" xr3:uid="{4AC0019D-0E09-40CC-8539-9B13D9E7FE14}" name="No." dataDxfId="42"/>
    <tableColumn id="2" xr3:uid="{7CF12DD8-114D-437E-84AC-27212E81B872}" name="PLAT" dataDxfId="25"/>
    <tableColumn id="3" xr3:uid="{67ACE094-0819-4F81-8BC5-B3F8B210B873}" name="PANJANG" dataDxfId="41"/>
    <tableColumn id="4" xr3:uid="{39AEE806-274A-4D9A-B831-A988427F6F6D}" name="LEBAR" dataDxfId="40"/>
    <tableColumn id="5" xr3:uid="{3BA264F9-A978-401A-BA75-FD20FCFD51A4}" name="TINGGI" dataDxfId="39"/>
    <tableColumn id="6" xr3:uid="{459139C4-AE51-4D86-AA72-0C1625C45646}" name="PALASI" dataDxfId="38"/>
    <tableColumn id="7" xr3:uid="{E38F1BBF-7450-4261-A7CA-61D876B73599}" name="VOLUME" dataDxfId="37"/>
    <tableColumn id="8" xr3:uid="{346CF578-9D71-41E3-8E88-538C5B4059AF}" name="JAM MASUK" dataDxfId="36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7E3CC3-662F-4C73-A2A1-EAE835F1945F}" name="Table3" displayName="Table3" ref="A1:H14" totalsRowCount="1" headerRowDxfId="35" dataDxfId="34">
  <autoFilter ref="A1:H13" xr:uid="{967E3CC3-662F-4C73-A2A1-EAE835F1945F}"/>
  <tableColumns count="8">
    <tableColumn id="1" xr3:uid="{DBF8F1B6-69C2-4484-B563-970F22C856FB}" name="No." totalsRowLabel="Total" dataDxfId="33" totalsRowDxfId="24"/>
    <tableColumn id="2" xr3:uid="{8DA9FB1E-426C-4534-A01B-8F9BA8251D57}" name="PLAT" dataDxfId="32" totalsRowDxfId="23"/>
    <tableColumn id="3" xr3:uid="{A9F9A037-D1A3-4431-A09E-C2BD713B3DAB}" name="PANJANG" dataDxfId="31" totalsRowDxfId="22"/>
    <tableColumn id="4" xr3:uid="{858B30E1-FF02-44E4-93B4-5A928423A03E}" name="LEBAR" dataDxfId="30" totalsRowDxfId="21"/>
    <tableColumn id="5" xr3:uid="{6FD6722D-618E-4DF8-8CE5-26F5515ACAF3}" name="TINGGI" dataDxfId="29" totalsRowDxfId="20"/>
    <tableColumn id="6" xr3:uid="{4E873A58-CA20-436B-95D7-67AB6369BA53}" name="PALASI" dataDxfId="28" totalsRowDxfId="19"/>
    <tableColumn id="7" xr3:uid="{016F3259-88BE-4F2B-919B-394145B294EA}" name="VOLUME" totalsRowFunction="custom" dataDxfId="27">
      <totalsRowFormula>SUM(G2:G11)</totalsRowFormula>
    </tableColumn>
    <tableColumn id="8" xr3:uid="{8AAC098B-24C8-4199-9749-2E7CA300897C}" name="JAM MASUK" dataDxfId="26" totalsRowDxfId="18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002162-F0A5-45E1-97C7-C02FEFFA2333}" name="Table2" displayName="Table2" ref="A1:H11" totalsRowCount="1" headerRowDxfId="8" dataDxfId="9">
  <autoFilter ref="A1:H10" xr:uid="{39002162-F0A5-45E1-97C7-C02FEFFA2333}"/>
  <tableColumns count="8">
    <tableColumn id="1" xr3:uid="{D367DC4D-7D5F-469D-B8ED-E5E6BDF9995E}" name="No." totalsRowLabel="JUMLAH" dataDxfId="17" totalsRowDxfId="7"/>
    <tableColumn id="2" xr3:uid="{F2FEA490-AB9B-41A8-93F2-825454D24964}" name="PLAT" dataDxfId="16" totalsRowDxfId="6"/>
    <tableColumn id="3" xr3:uid="{9994D238-0D28-4F57-AE41-95D665FD1E81}" name="PANJANG" dataDxfId="15" totalsRowDxfId="5"/>
    <tableColumn id="4" xr3:uid="{052E853C-AAF4-4B01-9029-25C1D34FF2D7}" name="LEBAR" dataDxfId="14" totalsRowDxfId="4"/>
    <tableColumn id="5" xr3:uid="{1A1197DF-BE37-4D70-B51C-3D4EC6BEA5C7}" name="TINGGI" dataDxfId="13" totalsRowDxfId="3"/>
    <tableColumn id="6" xr3:uid="{A8C4372A-C53D-4341-ACD2-0985237CEE00}" name="PALASI" dataDxfId="12" totalsRowDxfId="2"/>
    <tableColumn id="7" xr3:uid="{5CC56413-50AB-4CE6-9231-B3A08E947F3D}" name="VOLUME" totalsRowFunction="custom" dataDxfId="11" totalsRowDxfId="1">
      <totalsRowFormula>SUM(G2)</totalsRowFormula>
    </tableColumn>
    <tableColumn id="8" xr3:uid="{DD4084B1-C6B7-48E6-831D-A2AA47A0E68B}" name="JAM MASUK" dataDxfId="10" totalsRow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46718-5207-4241-9472-21C2A0F3BD02}" name="Table1" displayName="Table1" ref="A1:D6" totalsRowCount="1">
  <autoFilter ref="A1:D5" xr:uid="{9AE46718-5207-4241-9472-21C2A0F3BD02}"/>
  <tableColumns count="4">
    <tableColumn id="1" xr3:uid="{35E429FD-8D4F-482E-A2EB-84CEC85600A3}" name="No." totalsRowLabel="JUMLAH"/>
    <tableColumn id="2" xr3:uid="{CFA6110E-A370-44FE-A972-25FD1400D85A}" name="JENIS _x000a_KENDARAAN"/>
    <tableColumn id="3" xr3:uid="{365E3572-58AA-40D7-9C4C-07E7A51908DE}" name="STA"/>
    <tableColumn id="4" xr3:uid="{32DB0B55-8C83-4629-8D63-D0619C1EA8E4}" name="VOLUME" totalsRowFunction="sum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2E63-5183-42FA-9D8E-AEBD9530E00A}">
  <dimension ref="A1:J22"/>
  <sheetViews>
    <sheetView topLeftCell="F1" zoomScale="196" zoomScaleNormal="208" workbookViewId="0">
      <selection activeCell="H17" sqref="H17"/>
    </sheetView>
  </sheetViews>
  <sheetFormatPr defaultRowHeight="15" x14ac:dyDescent="0.25"/>
  <cols>
    <col min="1" max="1" width="6.28515625" customWidth="1"/>
    <col min="2" max="2" width="11" bestFit="1" customWidth="1"/>
    <col min="3" max="3" width="11.5703125" customWidth="1"/>
    <col min="5" max="5" width="9.5703125" customWidth="1"/>
    <col min="6" max="6" width="9.28515625" customWidth="1"/>
    <col min="7" max="7" width="10.7109375" customWidth="1"/>
    <col min="8" max="8" width="13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 spans="1:10" x14ac:dyDescent="0.25">
      <c r="A2" s="1">
        <v>1</v>
      </c>
      <c r="B2" s="2" t="s">
        <v>31</v>
      </c>
      <c r="C2" s="2">
        <v>365</v>
      </c>
      <c r="D2" s="2">
        <v>190</v>
      </c>
      <c r="E2" s="8">
        <v>155</v>
      </c>
      <c r="F2" s="2" t="s">
        <v>10</v>
      </c>
      <c r="G2" s="1">
        <v>12.41</v>
      </c>
      <c r="H2" s="5">
        <v>0.6166666666666667</v>
      </c>
      <c r="J2" t="str">
        <f>UPPER(Table4[[#This Row],[PLAT]])</f>
        <v>AG 9138 U</v>
      </c>
    </row>
    <row r="3" spans="1:10" x14ac:dyDescent="0.25">
      <c r="A3" s="1">
        <v>2</v>
      </c>
      <c r="B3" s="2" t="s">
        <v>6</v>
      </c>
      <c r="C3" s="2">
        <v>365</v>
      </c>
      <c r="D3" s="2">
        <v>185</v>
      </c>
      <c r="E3" s="8">
        <v>145</v>
      </c>
      <c r="F3" s="2" t="s">
        <v>12</v>
      </c>
      <c r="G3" s="1">
        <v>11.14</v>
      </c>
      <c r="H3" s="5">
        <v>0.61736111111111114</v>
      </c>
      <c r="J3" t="str">
        <f>UPPER(Table4[[#This Row],[PLAT]])</f>
        <v>H 8756 QA</v>
      </c>
    </row>
    <row r="4" spans="1:10" x14ac:dyDescent="0.25">
      <c r="A4" s="1">
        <v>3</v>
      </c>
      <c r="B4" s="2" t="s">
        <v>40</v>
      </c>
      <c r="C4" s="2">
        <v>365</v>
      </c>
      <c r="D4" s="2">
        <v>190</v>
      </c>
      <c r="E4" s="8">
        <v>145</v>
      </c>
      <c r="F4" s="2" t="s">
        <v>18</v>
      </c>
      <c r="G4" s="1">
        <v>11.85</v>
      </c>
      <c r="H4" s="5">
        <v>0.61805555555555558</v>
      </c>
      <c r="J4" t="str">
        <f>UPPER(Table4[[#This Row],[PLAT]])</f>
        <v>E 9336 AC</v>
      </c>
    </row>
    <row r="5" spans="1:10" x14ac:dyDescent="0.25">
      <c r="A5" s="1">
        <v>4</v>
      </c>
      <c r="B5" s="2" t="s">
        <v>32</v>
      </c>
      <c r="C5" s="2">
        <v>360</v>
      </c>
      <c r="D5" s="2">
        <v>180</v>
      </c>
      <c r="E5" s="8">
        <v>165</v>
      </c>
      <c r="F5" s="2" t="s">
        <v>10</v>
      </c>
      <c r="G5" s="1">
        <v>12.92</v>
      </c>
      <c r="H5" s="5">
        <v>0.61875000000000002</v>
      </c>
      <c r="J5" t="str">
        <f>UPPER(Table4[[#This Row],[PLAT]])</f>
        <v>K 8699 OS</v>
      </c>
    </row>
    <row r="6" spans="1:10" x14ac:dyDescent="0.25">
      <c r="A6" s="1">
        <v>5</v>
      </c>
      <c r="B6" s="2" t="s">
        <v>41</v>
      </c>
      <c r="C6" s="2">
        <v>360</v>
      </c>
      <c r="D6" s="2">
        <v>185</v>
      </c>
      <c r="E6" s="2" t="s">
        <v>27</v>
      </c>
      <c r="F6" s="2" t="s">
        <v>36</v>
      </c>
      <c r="G6" s="1">
        <v>10.6</v>
      </c>
      <c r="H6" s="5">
        <v>0.61944444444444446</v>
      </c>
      <c r="J6" t="str">
        <f>UPPER(Table4[[#This Row],[PLAT]])</f>
        <v>AD 1615 MP</v>
      </c>
    </row>
    <row r="7" spans="1:10" x14ac:dyDescent="0.25">
      <c r="A7" s="1">
        <v>6</v>
      </c>
      <c r="B7" s="2" t="s">
        <v>42</v>
      </c>
      <c r="C7" s="2">
        <v>360</v>
      </c>
      <c r="D7" s="2">
        <v>185</v>
      </c>
      <c r="E7" s="2" t="s">
        <v>19</v>
      </c>
      <c r="F7" s="2" t="s">
        <v>10</v>
      </c>
      <c r="G7" s="1">
        <v>9.34</v>
      </c>
      <c r="H7" s="5">
        <v>0.62083333333333335</v>
      </c>
      <c r="J7" t="str">
        <f>UPPER(Table4[[#This Row],[PLAT]])</f>
        <v>D 8202 YA</v>
      </c>
    </row>
    <row r="8" spans="1:10" x14ac:dyDescent="0.25">
      <c r="A8" s="1">
        <v>7</v>
      </c>
      <c r="B8" s="2" t="s">
        <v>43</v>
      </c>
      <c r="C8" s="2">
        <v>365</v>
      </c>
      <c r="D8" s="2">
        <v>180</v>
      </c>
      <c r="E8" s="8">
        <v>155</v>
      </c>
      <c r="F8" s="2" t="s">
        <v>10</v>
      </c>
      <c r="G8" s="1">
        <v>12.41</v>
      </c>
      <c r="H8" s="5">
        <v>0.75694444444444453</v>
      </c>
      <c r="J8" t="str">
        <f>UPPER(Table4[[#This Row],[PLAT]])</f>
        <v>AG 9138 V</v>
      </c>
    </row>
    <row r="9" spans="1:10" x14ac:dyDescent="0.25">
      <c r="A9" s="1">
        <v>8</v>
      </c>
      <c r="B9" s="2" t="s">
        <v>6</v>
      </c>
      <c r="C9" s="2">
        <v>365</v>
      </c>
      <c r="D9" s="2">
        <v>185</v>
      </c>
      <c r="E9" s="8">
        <v>145</v>
      </c>
      <c r="F9" s="2" t="s">
        <v>11</v>
      </c>
      <c r="G9" s="1">
        <v>11.27</v>
      </c>
      <c r="H9" s="5">
        <v>0.75694444444444453</v>
      </c>
      <c r="J9" t="str">
        <f>UPPER(Table4[[#This Row],[PLAT]])</f>
        <v>H 8756 QA</v>
      </c>
    </row>
    <row r="10" spans="1:10" x14ac:dyDescent="0.25">
      <c r="A10" s="1">
        <v>9</v>
      </c>
      <c r="B10" s="2" t="s">
        <v>44</v>
      </c>
      <c r="C10" s="2">
        <v>355</v>
      </c>
      <c r="D10" s="2">
        <v>185</v>
      </c>
      <c r="E10" s="8">
        <v>145</v>
      </c>
      <c r="F10" s="2" t="s">
        <v>18</v>
      </c>
      <c r="G10" s="1">
        <v>11.23</v>
      </c>
      <c r="H10" s="5">
        <v>0.75763888888888886</v>
      </c>
      <c r="J10" t="str">
        <f>UPPER(Table4[[#This Row],[PLAT]])</f>
        <v>AA 9269 YF</v>
      </c>
    </row>
    <row r="11" spans="1:10" x14ac:dyDescent="0.25">
      <c r="A11" s="1">
        <v>10</v>
      </c>
      <c r="B11" s="2" t="s">
        <v>45</v>
      </c>
      <c r="C11" s="2">
        <v>360</v>
      </c>
      <c r="D11" s="2">
        <v>190</v>
      </c>
      <c r="E11" s="8">
        <v>165</v>
      </c>
      <c r="F11" s="2" t="s">
        <v>28</v>
      </c>
      <c r="G11" s="1">
        <v>12.92</v>
      </c>
      <c r="H11" s="5">
        <v>0.7583333333333333</v>
      </c>
      <c r="J11" t="str">
        <f>UPPER(Table4[[#This Row],[PLAT]])</f>
        <v>K 8699 DS</v>
      </c>
    </row>
    <row r="12" spans="1:10" x14ac:dyDescent="0.25">
      <c r="A12" s="1">
        <v>11</v>
      </c>
      <c r="B12" s="2" t="s">
        <v>46</v>
      </c>
      <c r="C12" s="2">
        <v>370</v>
      </c>
      <c r="D12" s="2">
        <v>190</v>
      </c>
      <c r="E12" s="8">
        <v>150</v>
      </c>
      <c r="F12" s="2" t="s">
        <v>12</v>
      </c>
      <c r="G12" s="1">
        <v>11.95</v>
      </c>
      <c r="H12" s="5">
        <v>0.79652777777777772</v>
      </c>
      <c r="J12" t="str">
        <f>UPPER(Table4[[#This Row],[PLAT]])</f>
        <v>AA 9050 UN</v>
      </c>
    </row>
    <row r="13" spans="1:10" x14ac:dyDescent="0.25">
      <c r="A13" s="1">
        <v>12</v>
      </c>
      <c r="B13" s="2" t="s">
        <v>33</v>
      </c>
      <c r="C13" s="2">
        <v>365</v>
      </c>
      <c r="D13" s="2">
        <v>190</v>
      </c>
      <c r="E13" s="8">
        <v>140</v>
      </c>
      <c r="F13" s="2" t="s">
        <v>10</v>
      </c>
      <c r="G13" s="1">
        <v>11.37</v>
      </c>
      <c r="H13" s="5">
        <v>0.79722222222222228</v>
      </c>
      <c r="J13" t="str">
        <f>UPPER(Table4[[#This Row],[PLAT]])</f>
        <v>N 8836 UE</v>
      </c>
    </row>
    <row r="14" spans="1:10" x14ac:dyDescent="0.25">
      <c r="A14" s="1">
        <v>13</v>
      </c>
      <c r="B14" s="2" t="s">
        <v>47</v>
      </c>
      <c r="C14" s="2">
        <v>370</v>
      </c>
      <c r="D14" s="2">
        <v>190</v>
      </c>
      <c r="E14" s="8">
        <v>150</v>
      </c>
      <c r="F14" s="2" t="s">
        <v>18</v>
      </c>
      <c r="G14" s="1">
        <v>12.37</v>
      </c>
      <c r="H14" s="5">
        <v>0.79791666666666672</v>
      </c>
      <c r="J14" t="str">
        <f>UPPER(Table4[[#This Row],[PLAT]])</f>
        <v>AG 9825 UJ</v>
      </c>
    </row>
    <row r="15" spans="1:10" x14ac:dyDescent="0.25">
      <c r="A15" s="1">
        <v>14</v>
      </c>
      <c r="B15" s="2" t="s">
        <v>34</v>
      </c>
      <c r="C15" s="2">
        <v>345</v>
      </c>
      <c r="D15" s="2">
        <v>185</v>
      </c>
      <c r="E15" s="2" t="s">
        <v>19</v>
      </c>
      <c r="F15" s="2" t="s">
        <v>37</v>
      </c>
      <c r="G15" s="1">
        <v>9.82</v>
      </c>
      <c r="H15" s="5">
        <v>0.79861111111111116</v>
      </c>
      <c r="J15" t="str">
        <f>UPPER(Table4[[#This Row],[PLAT]])</f>
        <v>K 8141 LS</v>
      </c>
    </row>
    <row r="16" spans="1:10" x14ac:dyDescent="0.25">
      <c r="A16" s="1">
        <v>15</v>
      </c>
      <c r="B16" s="2" t="s">
        <v>24</v>
      </c>
      <c r="C16" s="2">
        <v>370</v>
      </c>
      <c r="D16" s="2">
        <v>190</v>
      </c>
      <c r="E16" s="2" t="s">
        <v>19</v>
      </c>
      <c r="F16" s="2" t="s">
        <v>37</v>
      </c>
      <c r="G16" s="1">
        <v>11.13</v>
      </c>
      <c r="H16" s="5">
        <v>0.8</v>
      </c>
      <c r="J16" t="str">
        <f>UPPER(Table4[[#This Row],[PLAT]])</f>
        <v>L 9369 UX</v>
      </c>
    </row>
    <row r="17" spans="1:10" x14ac:dyDescent="0.25">
      <c r="A17" s="1">
        <v>16</v>
      </c>
      <c r="B17" s="2" t="s">
        <v>35</v>
      </c>
      <c r="C17" s="2">
        <v>375</v>
      </c>
      <c r="D17" s="2">
        <v>190</v>
      </c>
      <c r="E17" s="8">
        <v>150</v>
      </c>
      <c r="F17" s="2" t="s">
        <v>12</v>
      </c>
      <c r="G17" s="1">
        <v>12.11</v>
      </c>
      <c r="H17" s="5">
        <v>0.80208333333333337</v>
      </c>
      <c r="J17" t="str">
        <f>UPPER(Table4[[#This Row],[PLAT]])</f>
        <v>W 8775 QI</v>
      </c>
    </row>
    <row r="18" spans="1:10" x14ac:dyDescent="0.25">
      <c r="A18" s="1"/>
      <c r="B18" s="2"/>
      <c r="C18" s="2"/>
      <c r="D18" s="2"/>
      <c r="E18" s="2"/>
      <c r="F18" s="2"/>
      <c r="G18" s="2"/>
      <c r="H18" s="5"/>
    </row>
    <row r="19" spans="1:10" x14ac:dyDescent="0.25">
      <c r="A19" s="1"/>
      <c r="B19" s="2"/>
      <c r="C19" s="2"/>
      <c r="D19" s="2"/>
      <c r="E19" s="2"/>
      <c r="F19" s="2"/>
      <c r="G19" s="1"/>
      <c r="H19" s="5"/>
    </row>
    <row r="20" spans="1:10" x14ac:dyDescent="0.25">
      <c r="A20" s="1"/>
      <c r="B20" s="2"/>
      <c r="C20" s="2"/>
      <c r="D20" s="2"/>
      <c r="E20" s="2"/>
      <c r="F20" s="2"/>
      <c r="G20" s="1"/>
      <c r="H20" s="5"/>
    </row>
    <row r="21" spans="1:10" x14ac:dyDescent="0.25">
      <c r="A21" s="2"/>
      <c r="B21" s="2"/>
      <c r="C21" s="2"/>
      <c r="D21" s="2"/>
      <c r="E21" s="2"/>
      <c r="F21" s="2"/>
      <c r="G21" s="4" t="s">
        <v>13</v>
      </c>
      <c r="H21" s="2"/>
    </row>
    <row r="22" spans="1:10" x14ac:dyDescent="0.25">
      <c r="A22" s="2"/>
      <c r="B22" s="2"/>
      <c r="C22" s="2"/>
      <c r="D22" s="2"/>
      <c r="E22" s="2"/>
      <c r="F22" s="2"/>
      <c r="G22" s="1">
        <f>SUM(G2:G17)</f>
        <v>184.83999999999997</v>
      </c>
      <c r="H2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1611-3138-4DB8-A5FA-C0C102A7690C}">
  <dimension ref="A1:H15"/>
  <sheetViews>
    <sheetView zoomScale="125" workbookViewId="0">
      <selection sqref="A1:XFD1"/>
    </sheetView>
  </sheetViews>
  <sheetFormatPr defaultRowHeight="15" x14ac:dyDescent="0.25"/>
  <cols>
    <col min="1" max="1" width="6.28515625" customWidth="1"/>
    <col min="2" max="2" width="20.42578125" customWidth="1"/>
    <col min="3" max="3" width="11.5703125" customWidth="1"/>
    <col min="4" max="4" width="8.85546875" customWidth="1"/>
    <col min="5" max="5" width="9.5703125" customWidth="1"/>
    <col min="6" max="6" width="9.28515625" customWidth="1"/>
    <col min="7" max="7" width="10.7109375" customWidth="1"/>
    <col min="8" max="8" width="1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 spans="1:8" x14ac:dyDescent="0.25">
      <c r="A2" s="6">
        <v>1</v>
      </c>
      <c r="B2" s="2" t="s">
        <v>22</v>
      </c>
      <c r="C2" s="2">
        <v>345</v>
      </c>
      <c r="D2" s="2">
        <v>172</v>
      </c>
      <c r="E2" s="8">
        <v>150</v>
      </c>
      <c r="F2" s="2" t="s">
        <v>10</v>
      </c>
      <c r="G2" s="6">
        <v>10.62</v>
      </c>
      <c r="H2" s="5">
        <v>0.71388888888888891</v>
      </c>
    </row>
    <row r="3" spans="1:8" x14ac:dyDescent="0.25">
      <c r="A3" s="6">
        <v>2</v>
      </c>
      <c r="B3" s="2" t="s">
        <v>21</v>
      </c>
      <c r="C3" s="2">
        <v>350</v>
      </c>
      <c r="D3" s="2">
        <v>185</v>
      </c>
      <c r="E3" s="8">
        <v>155</v>
      </c>
      <c r="F3" s="2" t="s">
        <v>20</v>
      </c>
      <c r="G3" s="6">
        <v>11.46</v>
      </c>
      <c r="H3" s="5">
        <v>0.71597222222222223</v>
      </c>
    </row>
    <row r="4" spans="1:8" x14ac:dyDescent="0.25">
      <c r="A4" s="6">
        <v>3</v>
      </c>
      <c r="B4" s="2" t="s">
        <v>48</v>
      </c>
      <c r="C4" s="2">
        <v>342</v>
      </c>
      <c r="D4" s="2">
        <v>180</v>
      </c>
      <c r="E4" s="8">
        <v>160</v>
      </c>
      <c r="F4" s="2" t="s">
        <v>11</v>
      </c>
      <c r="G4" s="6">
        <v>11.2</v>
      </c>
      <c r="H4" s="5">
        <v>0.71875</v>
      </c>
    </row>
    <row r="5" spans="1:8" x14ac:dyDescent="0.25">
      <c r="A5" s="6">
        <v>4</v>
      </c>
      <c r="B5" s="2" t="s">
        <v>23</v>
      </c>
      <c r="C5" s="2">
        <v>360</v>
      </c>
      <c r="D5" s="2">
        <v>185</v>
      </c>
      <c r="E5" s="8">
        <v>155</v>
      </c>
      <c r="F5" s="2" t="s">
        <v>20</v>
      </c>
      <c r="G5" s="6">
        <v>11.78</v>
      </c>
      <c r="H5" s="5">
        <v>0.72916666666666663</v>
      </c>
    </row>
    <row r="6" spans="1:8" x14ac:dyDescent="0.25">
      <c r="A6" s="6">
        <v>5</v>
      </c>
      <c r="B6" s="2" t="s">
        <v>49</v>
      </c>
      <c r="C6" s="2">
        <v>345</v>
      </c>
      <c r="D6" s="2">
        <v>190</v>
      </c>
      <c r="E6" s="8">
        <v>140</v>
      </c>
      <c r="F6" s="2" t="s">
        <v>39</v>
      </c>
      <c r="G6" s="6">
        <v>10.75</v>
      </c>
      <c r="H6" s="5">
        <v>0.72986111111111107</v>
      </c>
    </row>
    <row r="7" spans="1:8" x14ac:dyDescent="0.25">
      <c r="A7" s="6">
        <v>6</v>
      </c>
      <c r="B7" s="2" t="s">
        <v>50</v>
      </c>
      <c r="C7" s="2">
        <v>360</v>
      </c>
      <c r="D7" s="2">
        <v>185</v>
      </c>
      <c r="E7" s="8">
        <v>140</v>
      </c>
      <c r="F7" s="2" t="s">
        <v>10</v>
      </c>
      <c r="G7" s="6">
        <v>10.92</v>
      </c>
      <c r="H7" s="5">
        <v>0.7319444444444444</v>
      </c>
    </row>
    <row r="8" spans="1:8" x14ac:dyDescent="0.25">
      <c r="A8" s="6">
        <v>7</v>
      </c>
      <c r="B8" s="2" t="s">
        <v>25</v>
      </c>
      <c r="C8" s="2">
        <v>340</v>
      </c>
      <c r="D8" s="2">
        <v>180</v>
      </c>
      <c r="E8" s="8">
        <v>168</v>
      </c>
      <c r="F8" s="2" t="s">
        <v>10</v>
      </c>
      <c r="G8" s="6">
        <v>11.75</v>
      </c>
      <c r="H8" s="5">
        <v>0.73611111111111116</v>
      </c>
    </row>
    <row r="9" spans="1:8" x14ac:dyDescent="0.25">
      <c r="A9" s="6">
        <v>8</v>
      </c>
      <c r="B9" s="2" t="s">
        <v>38</v>
      </c>
      <c r="C9" s="2">
        <v>375</v>
      </c>
      <c r="D9" s="2">
        <v>185</v>
      </c>
      <c r="E9" s="2" t="s">
        <v>19</v>
      </c>
      <c r="F9" s="2" t="s">
        <v>10</v>
      </c>
      <c r="G9" s="6">
        <v>10.08</v>
      </c>
      <c r="H9" s="5">
        <v>0.7368055555555556</v>
      </c>
    </row>
    <row r="10" spans="1:8" x14ac:dyDescent="0.25">
      <c r="A10" s="6">
        <v>9</v>
      </c>
      <c r="B10" s="2" t="s">
        <v>26</v>
      </c>
      <c r="C10" s="2">
        <v>370</v>
      </c>
      <c r="D10" s="2">
        <v>190</v>
      </c>
      <c r="E10" s="2" t="s">
        <v>7</v>
      </c>
      <c r="F10" s="2" t="s">
        <v>12</v>
      </c>
      <c r="G10" s="6">
        <v>10.64</v>
      </c>
      <c r="H10" s="5">
        <v>0.73750000000000004</v>
      </c>
    </row>
    <row r="11" spans="1:8" x14ac:dyDescent="0.25">
      <c r="A11" s="6">
        <v>10</v>
      </c>
      <c r="B11" s="2" t="s">
        <v>51</v>
      </c>
      <c r="C11" s="2">
        <v>365</v>
      </c>
      <c r="D11" s="2">
        <v>185</v>
      </c>
      <c r="E11" s="8">
        <v>147</v>
      </c>
      <c r="F11" s="2" t="s">
        <v>10</v>
      </c>
      <c r="G11" s="6">
        <v>11.54</v>
      </c>
      <c r="H11" s="5">
        <v>0.73958333333333337</v>
      </c>
    </row>
    <row r="12" spans="1:8" x14ac:dyDescent="0.25">
      <c r="A12" s="7"/>
      <c r="B12" s="7"/>
      <c r="C12" s="7"/>
      <c r="D12" s="7"/>
      <c r="E12" s="7"/>
      <c r="F12" s="7"/>
      <c r="G12" s="7"/>
      <c r="H12" s="7"/>
    </row>
    <row r="13" spans="1:8" x14ac:dyDescent="0.25">
      <c r="A13" s="7"/>
      <c r="B13" s="7"/>
      <c r="C13" s="7"/>
      <c r="D13" s="7"/>
      <c r="E13" s="7"/>
      <c r="F13" s="4"/>
      <c r="G13" s="7"/>
      <c r="H13" s="7"/>
    </row>
    <row r="14" spans="1:8" x14ac:dyDescent="0.25">
      <c r="A14" s="7" t="s">
        <v>30</v>
      </c>
      <c r="B14" s="7"/>
      <c r="C14" s="7"/>
      <c r="D14" s="7"/>
      <c r="E14" s="7"/>
      <c r="F14" s="7"/>
      <c r="G14">
        <f>SUM(G2:G11)</f>
        <v>110.74000000000001</v>
      </c>
      <c r="H14" s="7"/>
    </row>
    <row r="15" spans="1:8" x14ac:dyDescent="0.25">
      <c r="A15" s="7"/>
      <c r="B15" s="7"/>
      <c r="C15" s="7"/>
      <c r="D15" s="7"/>
      <c r="E15" s="7"/>
      <c r="F15" s="7"/>
      <c r="G15" s="7"/>
      <c r="H15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ABE2-8736-4838-AA9B-0BAC4B7F39B1}">
  <dimension ref="A1:H11"/>
  <sheetViews>
    <sheetView tabSelected="1" workbookViewId="0">
      <selection activeCell="A12" sqref="A12"/>
    </sheetView>
  </sheetViews>
  <sheetFormatPr defaultRowHeight="15" x14ac:dyDescent="0.25"/>
  <cols>
    <col min="1" max="1" width="8.7109375" bestFit="1" customWidth="1"/>
    <col min="2" max="2" width="18" customWidth="1"/>
    <col min="3" max="3" width="11.5703125" customWidth="1"/>
    <col min="5" max="5" width="9.5703125" customWidth="1"/>
    <col min="6" max="6" width="9.28515625" customWidth="1"/>
    <col min="7" max="7" width="10.7109375" customWidth="1"/>
    <col min="8" max="8" width="1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 spans="1:8" x14ac:dyDescent="0.25">
      <c r="A2" s="2">
        <v>1</v>
      </c>
      <c r="B2" s="2" t="s">
        <v>52</v>
      </c>
      <c r="C2" s="2">
        <v>600</v>
      </c>
      <c r="D2" s="2">
        <v>235</v>
      </c>
      <c r="E2" s="2">
        <v>170</v>
      </c>
      <c r="F2" s="2" t="s">
        <v>53</v>
      </c>
      <c r="G2" s="2">
        <v>26.79</v>
      </c>
      <c r="H2" s="9">
        <v>0.47916666666666669</v>
      </c>
    </row>
    <row r="3" spans="1:8" x14ac:dyDescent="0.25">
      <c r="A3" s="2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2">
        <v>3</v>
      </c>
      <c r="B4" s="2"/>
      <c r="C4" s="2"/>
      <c r="D4" s="2"/>
      <c r="E4" s="2"/>
      <c r="F4" s="2"/>
      <c r="G4" s="2"/>
      <c r="H4" s="2"/>
    </row>
    <row r="5" spans="1:8" x14ac:dyDescent="0.25">
      <c r="A5" s="2">
        <v>4</v>
      </c>
      <c r="B5" s="2"/>
      <c r="C5" s="2"/>
      <c r="D5" s="2"/>
      <c r="E5" s="2"/>
      <c r="F5" s="2"/>
      <c r="G5" s="2"/>
      <c r="H5" s="2"/>
    </row>
    <row r="6" spans="1:8" x14ac:dyDescent="0.25">
      <c r="A6" s="2">
        <v>5</v>
      </c>
      <c r="B6" s="2"/>
      <c r="C6" s="2"/>
      <c r="D6" s="2"/>
      <c r="E6" s="2"/>
      <c r="F6" s="2"/>
      <c r="G6" s="2"/>
      <c r="H6" s="2"/>
    </row>
    <row r="7" spans="1:8" x14ac:dyDescent="0.25">
      <c r="A7" s="2">
        <v>6</v>
      </c>
      <c r="B7" s="2"/>
      <c r="C7" s="2"/>
      <c r="D7" s="2"/>
      <c r="E7" s="2"/>
      <c r="F7" s="2"/>
      <c r="G7" s="2"/>
      <c r="H7" s="2"/>
    </row>
    <row r="8" spans="1:8" x14ac:dyDescent="0.25">
      <c r="A8" s="2">
        <v>7</v>
      </c>
      <c r="B8" s="2"/>
      <c r="C8" s="2"/>
      <c r="D8" s="2"/>
      <c r="E8" s="2"/>
      <c r="F8" s="2"/>
      <c r="G8" s="2"/>
      <c r="H8" s="2"/>
    </row>
    <row r="9" spans="1:8" x14ac:dyDescent="0.25">
      <c r="A9" s="2">
        <v>8</v>
      </c>
      <c r="B9" s="2"/>
      <c r="C9" s="2"/>
      <c r="D9" s="2"/>
      <c r="E9" s="2"/>
      <c r="F9" s="2"/>
      <c r="G9" s="2"/>
      <c r="H9" s="2"/>
    </row>
    <row r="10" spans="1:8" x14ac:dyDescent="0.25">
      <c r="A10" s="2">
        <v>9</v>
      </c>
      <c r="B10" s="2"/>
      <c r="C10" s="2"/>
      <c r="D10" s="2"/>
      <c r="E10" s="2"/>
      <c r="F10" s="2"/>
      <c r="G10" s="2"/>
      <c r="H10" s="2"/>
    </row>
    <row r="11" spans="1:8" x14ac:dyDescent="0.25">
      <c r="A11" s="2" t="s">
        <v>13</v>
      </c>
      <c r="B11" s="2"/>
      <c r="C11" s="2"/>
      <c r="D11" s="2"/>
      <c r="E11" s="2"/>
      <c r="F11" s="2"/>
      <c r="G11" s="2">
        <f>SUM(G2)</f>
        <v>26.79</v>
      </c>
      <c r="H11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3ADE-29F4-495F-9663-0FD8E7F14254}">
  <dimension ref="A1:D6"/>
  <sheetViews>
    <sheetView zoomScale="125" workbookViewId="0">
      <selection activeCell="G5" sqref="G5"/>
    </sheetView>
  </sheetViews>
  <sheetFormatPr defaultColWidth="10.85546875" defaultRowHeight="15" x14ac:dyDescent="0.25"/>
  <cols>
    <col min="1" max="1" width="6.28515625" customWidth="1"/>
    <col min="2" max="2" width="13.42578125" customWidth="1"/>
  </cols>
  <sheetData>
    <row r="1" spans="1:4" ht="30" x14ac:dyDescent="0.25">
      <c r="A1" s="1" t="s">
        <v>0</v>
      </c>
      <c r="B1" s="3" t="s">
        <v>14</v>
      </c>
      <c r="C1" s="3" t="s">
        <v>16</v>
      </c>
      <c r="D1" s="1" t="s">
        <v>8</v>
      </c>
    </row>
    <row r="2" spans="1:4" x14ac:dyDescent="0.25">
      <c r="A2" s="2">
        <v>1</v>
      </c>
      <c r="B2" s="2" t="s">
        <v>15</v>
      </c>
      <c r="C2" s="2" t="s">
        <v>17</v>
      </c>
      <c r="D2" s="2">
        <f>'DT KECIL 24+350'!G22</f>
        <v>184.83999999999997</v>
      </c>
    </row>
    <row r="3" spans="1:4" x14ac:dyDescent="0.25">
      <c r="A3" s="2">
        <v>2</v>
      </c>
      <c r="B3" s="2" t="s">
        <v>15</v>
      </c>
      <c r="C3" s="2" t="s">
        <v>29</v>
      </c>
      <c r="D3" s="2">
        <f>Table3[[#Totals],[VOLUME]]</f>
        <v>110.74000000000001</v>
      </c>
    </row>
    <row r="4" spans="1:4" ht="14.25" customHeight="1" x14ac:dyDescent="0.25">
      <c r="A4" s="2">
        <v>3</v>
      </c>
      <c r="B4" s="2" t="s">
        <v>54</v>
      </c>
      <c r="C4" s="2">
        <v>24</v>
      </c>
      <c r="D4" s="2">
        <f>'DT BESAR STA 24'!G2</f>
        <v>26.79</v>
      </c>
    </row>
    <row r="5" spans="1:4" x14ac:dyDescent="0.25">
      <c r="A5" s="2"/>
      <c r="B5" s="2"/>
      <c r="C5" s="2"/>
      <c r="D5" s="2"/>
    </row>
    <row r="6" spans="1:4" x14ac:dyDescent="0.25">
      <c r="A6" t="s">
        <v>13</v>
      </c>
      <c r="D6">
        <f>SUBTOTAL(109,Table1[VOLUME])</f>
        <v>322.37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DT KECIL 24+350</vt:lpstr>
      <vt:lpstr>DT KECIL PSL</vt:lpstr>
      <vt:lpstr>DT BESAR STA 24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6287738128331</dc:creator>
  <cp:lastModifiedBy>6287738128331</cp:lastModifiedBy>
  <dcterms:created xsi:type="dcterms:W3CDTF">2026-09-14T08:39:36Z</dcterms:created>
  <dcterms:modified xsi:type="dcterms:W3CDTF">2026-09-16T00:21:53Z</dcterms:modified>
</cp:coreProperties>
</file>